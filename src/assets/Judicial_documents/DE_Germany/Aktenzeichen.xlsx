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berga\Dropbox\Espacio familiar\Back-end\Data library\Judicial_documents\DE_Germany\"/>
    </mc:Choice>
  </mc:AlternateContent>
  <xr:revisionPtr revIDLastSave="0" documentId="13_ncr:1_{70DCD74E-A16F-4D77-924E-94718A5A08D4}" xr6:coauthVersionLast="47" xr6:coauthVersionMax="47" xr10:uidLastSave="{00000000-0000-0000-0000-000000000000}"/>
  <bookViews>
    <workbookView xWindow="-120" yWindow="-120" windowWidth="29040" windowHeight="15720" firstSheet="3" activeTab="3" xr2:uid="{720BF510-BA1F-407E-89DC-EAC7B03E1F62}"/>
  </bookViews>
  <sheets>
    <sheet name="Sheet1" sheetId="1" r:id="rId1"/>
    <sheet name="Sheet2" sheetId="2" r:id="rId2"/>
    <sheet name="Sheet3" sheetId="3" r:id="rId3"/>
    <sheet name="Sheet4" sheetId="4" r:id="rId4"/>
    <sheet name="Old graphs" sheetId="5" r:id="rId5"/>
    <sheet name="Lag graphs" sheetId="6" r:id="rId6"/>
    <sheet name="Patent validity graphs" sheetId="7" r:id="rId7"/>
    <sheet name="FRAND pools and worldwide" sheetId="8" r:id="rId8"/>
    <sheet name="FromPython" sheetId="9" r:id="rId9"/>
  </sheets>
  <definedNames>
    <definedName name="_xlnm._FilterDatabase" localSheetId="8" hidden="1">FromPython!$A$1:$F$99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8" i="9" l="1"/>
  <c r="D97" i="9"/>
  <c r="D96" i="9"/>
  <c r="D95" i="9"/>
  <c r="C98" i="9"/>
  <c r="C97" i="9"/>
  <c r="C96" i="9"/>
  <c r="C95" i="9"/>
  <c r="B98" i="9"/>
  <c r="B97" i="9"/>
  <c r="B96" i="9"/>
  <c r="B95" i="9"/>
  <c r="D90" i="9"/>
  <c r="D89" i="9"/>
  <c r="D88" i="9"/>
  <c r="D87" i="9"/>
  <c r="D86" i="9"/>
  <c r="C90" i="9"/>
  <c r="C89" i="9"/>
  <c r="C88" i="9"/>
  <c r="C87" i="9"/>
  <c r="C86" i="9"/>
  <c r="B90" i="9"/>
  <c r="B89" i="9"/>
  <c r="B88" i="9"/>
  <c r="B87" i="9"/>
  <c r="B86" i="9"/>
  <c r="D80" i="9"/>
  <c r="C80" i="9"/>
  <c r="B80" i="9"/>
  <c r="D72" i="9"/>
  <c r="C72" i="9"/>
  <c r="B72" i="9"/>
  <c r="D64" i="9"/>
  <c r="C64" i="9"/>
  <c r="B64" i="9"/>
  <c r="D57" i="9"/>
  <c r="C57" i="9"/>
  <c r="B57" i="9"/>
  <c r="D49" i="9"/>
  <c r="C49" i="9"/>
  <c r="B49" i="9"/>
  <c r="D81" i="9"/>
  <c r="D79" i="9"/>
  <c r="D78" i="9"/>
  <c r="C81" i="9"/>
  <c r="C79" i="9"/>
  <c r="C78" i="9"/>
  <c r="B81" i="9"/>
  <c r="B79" i="9"/>
  <c r="B78" i="9"/>
  <c r="B55" i="9"/>
  <c r="D73" i="9"/>
  <c r="D71" i="9"/>
  <c r="C71" i="9"/>
  <c r="B71" i="9"/>
  <c r="F71" i="9" s="1"/>
  <c r="B48" i="9"/>
  <c r="D70" i="9"/>
  <c r="C73" i="9"/>
  <c r="C70" i="9"/>
  <c r="B73" i="9"/>
  <c r="F73" i="9" s="1"/>
  <c r="B70" i="9"/>
  <c r="D65" i="9"/>
  <c r="D63" i="9"/>
  <c r="C63" i="9"/>
  <c r="C65" i="9"/>
  <c r="B65" i="9"/>
  <c r="B63" i="9"/>
  <c r="D58" i="9"/>
  <c r="D56" i="9"/>
  <c r="D55" i="9"/>
  <c r="C58" i="9"/>
  <c r="C56" i="9"/>
  <c r="C55" i="9"/>
  <c r="B58" i="9"/>
  <c r="B56" i="9"/>
  <c r="D50" i="9"/>
  <c r="D48" i="9"/>
  <c r="C50" i="9"/>
  <c r="C48" i="9"/>
  <c r="B50" i="9"/>
  <c r="K28" i="8"/>
  <c r="K27" i="8"/>
  <c r="K26" i="8"/>
  <c r="J28" i="8"/>
  <c r="J27" i="8"/>
  <c r="J26" i="8"/>
  <c r="D28" i="8"/>
  <c r="D27" i="8"/>
  <c r="D26" i="8"/>
  <c r="C28" i="8"/>
  <c r="C27" i="8"/>
  <c r="C26" i="8"/>
  <c r="M46" i="7"/>
  <c r="M45" i="7"/>
  <c r="M44" i="7"/>
  <c r="M43" i="7"/>
  <c r="M42" i="7"/>
  <c r="M41" i="7"/>
  <c r="M40" i="7"/>
  <c r="M39" i="7"/>
  <c r="M38" i="7"/>
  <c r="M37" i="7"/>
  <c r="M36" i="7"/>
  <c r="M35" i="7"/>
  <c r="M34" i="7"/>
  <c r="M33" i="7"/>
  <c r="M32" i="7"/>
  <c r="M31" i="7"/>
  <c r="M30" i="7"/>
  <c r="M29" i="7"/>
  <c r="M28" i="7"/>
  <c r="M27" i="7"/>
  <c r="M26" i="7"/>
  <c r="M25" i="7"/>
  <c r="M24" i="7"/>
  <c r="M23" i="7"/>
  <c r="M22" i="7"/>
  <c r="M21" i="7"/>
  <c r="M20" i="7"/>
  <c r="M19" i="7"/>
  <c r="M18" i="7"/>
  <c r="M17" i="7"/>
  <c r="M16" i="7"/>
  <c r="M15" i="7"/>
  <c r="M14" i="7"/>
  <c r="M13" i="7"/>
  <c r="M12" i="7"/>
  <c r="M11" i="7"/>
  <c r="M10" i="7"/>
  <c r="M9" i="7"/>
  <c r="M8" i="7"/>
  <c r="M7" i="7"/>
  <c r="M6" i="7"/>
  <c r="M5" i="7"/>
  <c r="M4" i="7"/>
  <c r="M3" i="7"/>
  <c r="M2"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K6" i="7"/>
  <c r="K5" i="7"/>
  <c r="K4" i="7"/>
  <c r="K3" i="7"/>
  <c r="K2" i="7"/>
  <c r="J46" i="7"/>
  <c r="J45" i="7"/>
  <c r="J44" i="7"/>
  <c r="J43" i="7"/>
  <c r="J42" i="7"/>
  <c r="J41" i="7"/>
  <c r="J40" i="7"/>
  <c r="J39" i="7"/>
  <c r="J38" i="7"/>
  <c r="J37" i="7"/>
  <c r="J36" i="7"/>
  <c r="J35" i="7"/>
  <c r="J34" i="7"/>
  <c r="J33" i="7"/>
  <c r="J32" i="7"/>
  <c r="J31" i="7"/>
  <c r="J30" i="7"/>
  <c r="J29" i="7"/>
  <c r="J28" i="7"/>
  <c r="J27" i="7"/>
  <c r="J26" i="7"/>
  <c r="J25" i="7"/>
  <c r="J24" i="7"/>
  <c r="J23" i="7"/>
  <c r="J22" i="7"/>
  <c r="J21" i="7"/>
  <c r="J20" i="7"/>
  <c r="J19" i="7"/>
  <c r="J18" i="7"/>
  <c r="J17" i="7"/>
  <c r="J16" i="7"/>
  <c r="J15" i="7"/>
  <c r="J14" i="7"/>
  <c r="J13" i="7"/>
  <c r="J12" i="7"/>
  <c r="J11" i="7"/>
  <c r="J10" i="7"/>
  <c r="J9" i="7"/>
  <c r="J8" i="7"/>
  <c r="J7" i="7"/>
  <c r="J6" i="7"/>
  <c r="J5" i="7"/>
  <c r="J4" i="7"/>
  <c r="J3" i="7"/>
  <c r="J2"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I7" i="7"/>
  <c r="I6" i="7"/>
  <c r="I5" i="7"/>
  <c r="I4" i="7"/>
  <c r="I3" i="7"/>
  <c r="I2"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6" i="7"/>
  <c r="H5" i="7"/>
  <c r="H4" i="7"/>
  <c r="H3" i="7"/>
  <c r="H2"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F2" i="7"/>
  <c r="D46" i="7"/>
  <c r="D45" i="7"/>
  <c r="D44" i="7"/>
  <c r="D43" i="7"/>
  <c r="D42"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2"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6" i="7"/>
  <c r="A3" i="7"/>
  <c r="A4" i="7"/>
  <c r="A5" i="7"/>
  <c r="A6" i="7"/>
  <c r="A7" i="7"/>
  <c r="A8" i="7"/>
  <c r="A9" i="7"/>
  <c r="A10" i="7"/>
  <c r="A11" i="7"/>
  <c r="A12" i="7"/>
  <c r="A13" i="7"/>
  <c r="A14" i="7"/>
  <c r="A15" i="7"/>
  <c r="A16" i="7"/>
  <c r="A2" i="7"/>
  <c r="K5" i="8"/>
  <c r="K4" i="8"/>
  <c r="K3" i="8"/>
  <c r="J5" i="8"/>
  <c r="J4" i="8"/>
  <c r="J3" i="8"/>
  <c r="D5" i="8"/>
  <c r="D4" i="8"/>
  <c r="D3" i="8"/>
  <c r="C5" i="8"/>
  <c r="C4" i="8"/>
  <c r="C3" i="8"/>
  <c r="B2" i="5"/>
  <c r="F58" i="9" l="1"/>
  <c r="F98" i="9"/>
  <c r="F86" i="9"/>
  <c r="F72" i="9"/>
  <c r="F81" i="9"/>
  <c r="F79" i="9"/>
  <c r="F97" i="9"/>
  <c r="F87" i="9"/>
  <c r="F89" i="9"/>
  <c r="F90" i="9"/>
  <c r="F88" i="9"/>
  <c r="F78" i="9"/>
  <c r="AF26" i="7"/>
  <c r="F63" i="9"/>
  <c r="AI2" i="7"/>
  <c r="AF2" i="7"/>
  <c r="F95" i="9"/>
  <c r="F80" i="9"/>
  <c r="AG2" i="7"/>
  <c r="F96" i="9"/>
  <c r="AG4" i="7"/>
  <c r="F57" i="9"/>
  <c r="F64" i="9"/>
  <c r="F65" i="9"/>
  <c r="F70" i="9"/>
  <c r="F48" i="9"/>
  <c r="F49" i="9"/>
  <c r="F55" i="9"/>
  <c r="F50" i="9"/>
  <c r="F56" i="9"/>
  <c r="K29" i="8"/>
  <c r="J29" i="8"/>
  <c r="D29" i="8"/>
  <c r="C29" i="8"/>
  <c r="AE2" i="7"/>
  <c r="AF25" i="7"/>
  <c r="F42" i="6"/>
  <c r="F43" i="6"/>
  <c r="F44" i="6"/>
  <c r="F45" i="6"/>
  <c r="F46" i="6"/>
  <c r="F39" i="6"/>
  <c r="F40" i="6"/>
  <c r="F41" i="6"/>
  <c r="F38" i="6"/>
  <c r="F37" i="6"/>
  <c r="F32" i="6"/>
  <c r="F33" i="6"/>
  <c r="F34" i="6"/>
  <c r="F35" i="6"/>
  <c r="F36" i="6"/>
  <c r="F31" i="6"/>
  <c r="F20" i="6"/>
  <c r="F21" i="6"/>
  <c r="F22" i="6"/>
  <c r="F23" i="6"/>
  <c r="F24" i="6"/>
  <c r="F25" i="6"/>
  <c r="F26" i="6"/>
  <c r="F27" i="6"/>
  <c r="F28" i="6"/>
  <c r="F29" i="6"/>
  <c r="F30" i="6"/>
  <c r="F18" i="6"/>
  <c r="F19" i="6"/>
  <c r="F5" i="6"/>
  <c r="F6" i="6"/>
  <c r="F7" i="6"/>
  <c r="F8" i="6"/>
  <c r="F9" i="6"/>
  <c r="F10" i="6"/>
  <c r="F11" i="6"/>
  <c r="F12" i="6"/>
  <c r="F13" i="6"/>
  <c r="F14" i="6"/>
  <c r="F15" i="6"/>
  <c r="F16" i="6"/>
  <c r="F17" i="6"/>
  <c r="F3" i="6"/>
  <c r="F4" i="6"/>
  <c r="F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2" i="6"/>
  <c r="E46" i="6"/>
  <c r="E45" i="6"/>
  <c r="E44" i="6"/>
  <c r="L44" i="6" s="1"/>
  <c r="E43" i="6"/>
  <c r="L43" i="6" s="1"/>
  <c r="E42" i="6"/>
  <c r="E41" i="6"/>
  <c r="E40" i="6"/>
  <c r="E39" i="6"/>
  <c r="L39" i="6" s="1"/>
  <c r="E38" i="6"/>
  <c r="E37" i="6"/>
  <c r="L37" i="6" s="1"/>
  <c r="E36" i="6"/>
  <c r="E35" i="6"/>
  <c r="E34" i="6"/>
  <c r="L34" i="6" s="1"/>
  <c r="E33" i="6"/>
  <c r="E32" i="6"/>
  <c r="L32" i="6" s="1"/>
  <c r="E31" i="6"/>
  <c r="L31" i="6" s="1"/>
  <c r="E30" i="6"/>
  <c r="E29" i="6"/>
  <c r="L29" i="6" s="1"/>
  <c r="E28" i="6"/>
  <c r="L28" i="6" s="1"/>
  <c r="E27" i="6"/>
  <c r="L27" i="6" s="1"/>
  <c r="E26" i="6"/>
  <c r="L26" i="6" s="1"/>
  <c r="E25" i="6"/>
  <c r="E24" i="6"/>
  <c r="L24" i="6" s="1"/>
  <c r="E23" i="6"/>
  <c r="L23" i="6" s="1"/>
  <c r="E22" i="6"/>
  <c r="E21" i="6"/>
  <c r="E20" i="6"/>
  <c r="E19" i="6"/>
  <c r="L19" i="6" s="1"/>
  <c r="E18" i="6"/>
  <c r="L18" i="6" s="1"/>
  <c r="E17" i="6"/>
  <c r="E16" i="6"/>
  <c r="L16" i="6" s="1"/>
  <c r="E15" i="6"/>
  <c r="L15" i="6" s="1"/>
  <c r="E14" i="6"/>
  <c r="E13" i="6"/>
  <c r="L13" i="6" s="1"/>
  <c r="E12" i="6"/>
  <c r="L12" i="6" s="1"/>
  <c r="E11" i="6"/>
  <c r="L11" i="6" s="1"/>
  <c r="E10" i="6"/>
  <c r="L10" i="6" s="1"/>
  <c r="E9" i="6"/>
  <c r="E8" i="6"/>
  <c r="L8" i="6" s="1"/>
  <c r="E7" i="6"/>
  <c r="L7" i="6" s="1"/>
  <c r="E6" i="6"/>
  <c r="E5" i="6"/>
  <c r="E4" i="6"/>
  <c r="L4" i="6" s="1"/>
  <c r="E3" i="6"/>
  <c r="L3" i="6" s="1"/>
  <c r="L40" i="6"/>
  <c r="L42" i="6"/>
  <c r="E2" i="6"/>
  <c r="L2" i="6" s="1"/>
  <c r="D46" i="6"/>
  <c r="K45" i="6"/>
  <c r="D44" i="6"/>
  <c r="K44" i="6" s="1"/>
  <c r="D43" i="6"/>
  <c r="K43" i="6" s="1"/>
  <c r="D42" i="6"/>
  <c r="K42" i="6" s="1"/>
  <c r="D41" i="6"/>
  <c r="D40" i="6"/>
  <c r="D39" i="6"/>
  <c r="K39" i="6" s="1"/>
  <c r="D38" i="6"/>
  <c r="D37" i="6"/>
  <c r="K37" i="6" s="1"/>
  <c r="D36" i="6"/>
  <c r="K36" i="6" s="1"/>
  <c r="D35" i="6"/>
  <c r="K35" i="6" s="1"/>
  <c r="D34" i="6"/>
  <c r="K34" i="6" s="1"/>
  <c r="D33" i="6"/>
  <c r="K33" i="6" s="1"/>
  <c r="D32" i="6"/>
  <c r="K32" i="6" s="1"/>
  <c r="D31" i="6"/>
  <c r="K31" i="6" s="1"/>
  <c r="D30" i="6"/>
  <c r="K30" i="6" s="1"/>
  <c r="D29" i="6"/>
  <c r="K29" i="6" s="1"/>
  <c r="D28" i="6"/>
  <c r="K28" i="6" s="1"/>
  <c r="D3" i="6"/>
  <c r="D4" i="6"/>
  <c r="D5" i="6"/>
  <c r="D6" i="6"/>
  <c r="D7" i="6"/>
  <c r="D8" i="6"/>
  <c r="D9" i="6"/>
  <c r="K9" i="6" s="1"/>
  <c r="D10" i="6"/>
  <c r="K10" i="6" s="1"/>
  <c r="D11" i="6"/>
  <c r="K11" i="6" s="1"/>
  <c r="D12" i="6"/>
  <c r="K12" i="6" s="1"/>
  <c r="D13" i="6"/>
  <c r="D14" i="6"/>
  <c r="K14" i="6" s="1"/>
  <c r="D15" i="6"/>
  <c r="D16" i="6"/>
  <c r="K16" i="6" s="1"/>
  <c r="D17" i="6"/>
  <c r="K17" i="6" s="1"/>
  <c r="D18" i="6"/>
  <c r="K18" i="6" s="1"/>
  <c r="D19" i="6"/>
  <c r="D20" i="6"/>
  <c r="K20" i="6" s="1"/>
  <c r="D21" i="6"/>
  <c r="D22" i="6"/>
  <c r="D23" i="6"/>
  <c r="K23" i="6" s="1"/>
  <c r="D24" i="6"/>
  <c r="K24" i="6" s="1"/>
  <c r="D25" i="6"/>
  <c r="K25" i="6" s="1"/>
  <c r="D26" i="6"/>
  <c r="K26" i="6" s="1"/>
  <c r="D2" i="6"/>
  <c r="K2" i="6" s="1"/>
  <c r="C14" i="6"/>
  <c r="J14" i="6" s="1"/>
  <c r="C46" i="6"/>
  <c r="C45" i="6"/>
  <c r="C44" i="6"/>
  <c r="J44" i="6" s="1"/>
  <c r="C43" i="6"/>
  <c r="J43" i="6" s="1"/>
  <c r="C42" i="6"/>
  <c r="J42" i="6" s="1"/>
  <c r="C41" i="6"/>
  <c r="J41" i="6" s="1"/>
  <c r="C40" i="6"/>
  <c r="J40" i="6" s="1"/>
  <c r="C39" i="6"/>
  <c r="J39" i="6" s="1"/>
  <c r="C38" i="6"/>
  <c r="C37" i="6"/>
  <c r="J37" i="6" s="1"/>
  <c r="C36" i="6"/>
  <c r="J36" i="6" s="1"/>
  <c r="C35" i="6"/>
  <c r="J35" i="6" s="1"/>
  <c r="C34" i="6"/>
  <c r="C33" i="6"/>
  <c r="J33" i="6" s="1"/>
  <c r="C32" i="6"/>
  <c r="J32" i="6" s="1"/>
  <c r="C31" i="6"/>
  <c r="J31" i="6" s="1"/>
  <c r="C30" i="6"/>
  <c r="C29" i="6"/>
  <c r="C28" i="6"/>
  <c r="J28" i="6" s="1"/>
  <c r="C27" i="6"/>
  <c r="J27" i="6" s="1"/>
  <c r="C26" i="6"/>
  <c r="J26" i="6" s="1"/>
  <c r="C25" i="6"/>
  <c r="C24" i="6"/>
  <c r="C23" i="6"/>
  <c r="J23" i="6" s="1"/>
  <c r="C22" i="6"/>
  <c r="C21" i="6"/>
  <c r="C20" i="6"/>
  <c r="J20" i="6" s="1"/>
  <c r="C19" i="6"/>
  <c r="J19" i="6" s="1"/>
  <c r="C18" i="6"/>
  <c r="J18" i="6" s="1"/>
  <c r="C17" i="6"/>
  <c r="J17" i="6" s="1"/>
  <c r="C16" i="6"/>
  <c r="J16" i="6" s="1"/>
  <c r="C15" i="6"/>
  <c r="J15" i="6" s="1"/>
  <c r="C13" i="6"/>
  <c r="C12" i="6"/>
  <c r="J12" i="6" s="1"/>
  <c r="C11" i="6"/>
  <c r="J11" i="6" s="1"/>
  <c r="C10" i="6"/>
  <c r="J10" i="6" s="1"/>
  <c r="C9" i="6"/>
  <c r="J9" i="6" s="1"/>
  <c r="C8" i="6"/>
  <c r="J8" i="6" s="1"/>
  <c r="C7" i="6"/>
  <c r="J7" i="6" s="1"/>
  <c r="C6" i="6"/>
  <c r="C5" i="6"/>
  <c r="C4" i="6"/>
  <c r="J4" i="6" s="1"/>
  <c r="C3" i="6"/>
  <c r="J3" i="6" s="1"/>
  <c r="J24" i="6"/>
  <c r="J34" i="6"/>
  <c r="C2" i="6"/>
  <c r="J2" i="6" s="1"/>
  <c r="B43" i="6"/>
  <c r="I43" i="6" s="1"/>
  <c r="B44" i="6"/>
  <c r="I44" i="6" s="1"/>
  <c r="B45" i="6"/>
  <c r="I45" i="6" s="1"/>
  <c r="B46" i="6"/>
  <c r="I46" i="6" s="1"/>
  <c r="B42" i="6"/>
  <c r="B29" i="6"/>
  <c r="I29" i="6" s="1"/>
  <c r="B30" i="6"/>
  <c r="I30" i="6" s="1"/>
  <c r="B31" i="6"/>
  <c r="I31" i="6" s="1"/>
  <c r="B32" i="6"/>
  <c r="I32" i="6" s="1"/>
  <c r="B33" i="6"/>
  <c r="B34" i="6"/>
  <c r="B35" i="6"/>
  <c r="I35" i="6" s="1"/>
  <c r="B36" i="6"/>
  <c r="I36" i="6" s="1"/>
  <c r="B37" i="6"/>
  <c r="I37" i="6" s="1"/>
  <c r="B38" i="6"/>
  <c r="I38" i="6" s="1"/>
  <c r="B39" i="6"/>
  <c r="I39" i="6" s="1"/>
  <c r="B28" i="6"/>
  <c r="I28" i="6" s="1"/>
  <c r="B3" i="6"/>
  <c r="I3" i="6" s="1"/>
  <c r="B4" i="6"/>
  <c r="I4" i="6" s="1"/>
  <c r="B5" i="6"/>
  <c r="I5" i="6" s="1"/>
  <c r="B6" i="6"/>
  <c r="I6" i="6" s="1"/>
  <c r="B7" i="6"/>
  <c r="I7" i="6" s="1"/>
  <c r="B8" i="6"/>
  <c r="I8" i="6" s="1"/>
  <c r="B9" i="6"/>
  <c r="I9" i="6" s="1"/>
  <c r="B10" i="6"/>
  <c r="I10" i="6" s="1"/>
  <c r="B11" i="6"/>
  <c r="I11" i="6" s="1"/>
  <c r="B12" i="6"/>
  <c r="B13" i="6"/>
  <c r="I13" i="6" s="1"/>
  <c r="B14" i="6"/>
  <c r="I14" i="6" s="1"/>
  <c r="B15" i="6"/>
  <c r="I15" i="6" s="1"/>
  <c r="B16" i="6"/>
  <c r="I16" i="6" s="1"/>
  <c r="B17" i="6"/>
  <c r="I17" i="6" s="1"/>
  <c r="B18" i="6"/>
  <c r="I18" i="6" s="1"/>
  <c r="B19" i="6"/>
  <c r="I19" i="6" s="1"/>
  <c r="B20" i="6"/>
  <c r="B21" i="6"/>
  <c r="I21" i="6" s="1"/>
  <c r="B22" i="6"/>
  <c r="B23" i="6"/>
  <c r="I23" i="6" s="1"/>
  <c r="B24" i="6"/>
  <c r="I24" i="6" s="1"/>
  <c r="B25" i="6"/>
  <c r="I25" i="6" s="1"/>
  <c r="B26" i="6"/>
  <c r="I26" i="6" s="1"/>
  <c r="B27" i="6"/>
  <c r="I27" i="6" s="1"/>
  <c r="B2" i="6"/>
  <c r="I2" i="6" s="1"/>
  <c r="AF24" i="7"/>
  <c r="AF23" i="7"/>
  <c r="AF4" i="7"/>
  <c r="U30" i="7"/>
  <c r="W30" i="7"/>
  <c r="T30" i="7"/>
  <c r="W29" i="7"/>
  <c r="U29" i="7"/>
  <c r="T29" i="7"/>
  <c r="U28" i="7"/>
  <c r="W28" i="7"/>
  <c r="T28"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2" i="7"/>
  <c r="G3" i="7"/>
  <c r="G4" i="7"/>
  <c r="G5" i="7"/>
  <c r="G6" i="7"/>
  <c r="G7" i="7"/>
  <c r="G8" i="7"/>
  <c r="G9" i="7"/>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2" i="7"/>
  <c r="L5" i="6"/>
  <c r="L6" i="6"/>
  <c r="L9" i="6"/>
  <c r="L14" i="6"/>
  <c r="L17" i="6"/>
  <c r="L20" i="6"/>
  <c r="L21" i="6"/>
  <c r="L22" i="6"/>
  <c r="L25" i="6"/>
  <c r="L30" i="6"/>
  <c r="L33" i="6"/>
  <c r="L35" i="6"/>
  <c r="L36" i="6"/>
  <c r="L38" i="6"/>
  <c r="L41" i="6"/>
  <c r="L45" i="6"/>
  <c r="L46" i="6"/>
  <c r="K3" i="6"/>
  <c r="K4" i="6"/>
  <c r="K5" i="6"/>
  <c r="K6" i="6"/>
  <c r="K7" i="6"/>
  <c r="K8" i="6"/>
  <c r="K13" i="6"/>
  <c r="K15" i="6"/>
  <c r="K19" i="6"/>
  <c r="K21" i="6"/>
  <c r="K22" i="6"/>
  <c r="K27" i="6"/>
  <c r="K38" i="6"/>
  <c r="K40" i="6"/>
  <c r="K41" i="6"/>
  <c r="K46" i="6"/>
  <c r="J5" i="6"/>
  <c r="J6" i="6"/>
  <c r="J13" i="6"/>
  <c r="J21" i="6"/>
  <c r="J22" i="6"/>
  <c r="J25" i="6"/>
  <c r="J29" i="6"/>
  <c r="J30" i="6"/>
  <c r="J38" i="6"/>
  <c r="J45" i="6"/>
  <c r="J46" i="6"/>
  <c r="I12" i="6"/>
  <c r="I20" i="6"/>
  <c r="I22" i="6"/>
  <c r="I33" i="6"/>
  <c r="I34" i="6"/>
  <c r="I40" i="6"/>
  <c r="I41" i="6"/>
  <c r="I42" i="6"/>
  <c r="F74" i="9" l="1"/>
  <c r="F99" i="9"/>
  <c r="F91" i="9"/>
  <c r="F82" i="9"/>
  <c r="F66" i="9"/>
  <c r="L29" i="8"/>
  <c r="F59" i="9"/>
  <c r="F51" i="9"/>
  <c r="E29" i="8"/>
  <c r="P38" i="7"/>
  <c r="P30" i="7"/>
  <c r="P22" i="7"/>
  <c r="P14" i="7"/>
  <c r="P46" i="7"/>
  <c r="AH2" i="7"/>
  <c r="AH4" i="7"/>
  <c r="O9" i="6"/>
  <c r="Q9" i="6" s="1"/>
  <c r="O13" i="6"/>
  <c r="Q13" i="6" s="1"/>
  <c r="P36" i="7"/>
  <c r="O5" i="6"/>
  <c r="Q5" i="6" s="1"/>
  <c r="O21" i="6"/>
  <c r="R44" i="6"/>
  <c r="R20" i="6"/>
  <c r="R15" i="6"/>
  <c r="R23" i="6"/>
  <c r="R31" i="6"/>
  <c r="R39" i="6"/>
  <c r="R42" i="6"/>
  <c r="R18" i="6"/>
  <c r="R7" i="6"/>
  <c r="R12" i="6"/>
  <c r="R36" i="6"/>
  <c r="R10" i="6"/>
  <c r="R34" i="6"/>
  <c r="R28" i="6"/>
  <c r="R26" i="6"/>
  <c r="R4" i="6"/>
  <c r="R2" i="6"/>
  <c r="O37" i="6"/>
  <c r="O32" i="6"/>
  <c r="O45" i="6"/>
  <c r="Q45" i="6" s="1"/>
  <c r="O29" i="6"/>
  <c r="O40" i="6"/>
  <c r="O8" i="6"/>
  <c r="O16" i="6"/>
  <c r="N27" i="6"/>
  <c r="N11" i="6"/>
  <c r="N3" i="6"/>
  <c r="N19" i="6"/>
  <c r="N8" i="6"/>
  <c r="N32" i="6"/>
  <c r="N26" i="6"/>
  <c r="N18" i="6"/>
  <c r="N10" i="6"/>
  <c r="N43" i="6"/>
  <c r="N35" i="6"/>
  <c r="N24" i="6"/>
  <c r="N16" i="6"/>
  <c r="N42" i="6"/>
  <c r="N34" i="6"/>
  <c r="N40" i="6"/>
  <c r="P6" i="7"/>
  <c r="P45" i="7"/>
  <c r="P37" i="7"/>
  <c r="P29" i="7"/>
  <c r="P21" i="7"/>
  <c r="P13" i="7"/>
  <c r="P5" i="7"/>
  <c r="P12" i="7"/>
  <c r="P44" i="7"/>
  <c r="P20" i="7"/>
  <c r="P28" i="7"/>
  <c r="P35" i="7"/>
  <c r="P3" i="7"/>
  <c r="P42" i="7"/>
  <c r="P26" i="7"/>
  <c r="P40" i="7"/>
  <c r="P32" i="7"/>
  <c r="P24" i="7"/>
  <c r="W6" i="7" s="1"/>
  <c r="P16" i="7"/>
  <c r="P8" i="7"/>
  <c r="P19" i="7"/>
  <c r="P34" i="7"/>
  <c r="P10" i="7"/>
  <c r="P2" i="7"/>
  <c r="P39" i="7"/>
  <c r="P31" i="7"/>
  <c r="P23" i="7"/>
  <c r="P15" i="7"/>
  <c r="P7" i="7"/>
  <c r="Q4" i="7"/>
  <c r="P11" i="7"/>
  <c r="P43" i="7"/>
  <c r="P27" i="7"/>
  <c r="P18" i="7"/>
  <c r="P41" i="7"/>
  <c r="P33" i="7"/>
  <c r="P25" i="7"/>
  <c r="P17" i="7"/>
  <c r="P9" i="7"/>
  <c r="P4" i="7"/>
  <c r="W31" i="7"/>
  <c r="Q45" i="7"/>
  <c r="Q37" i="7"/>
  <c r="Q29" i="7"/>
  <c r="Q21" i="7"/>
  <c r="Q13" i="7"/>
  <c r="Q5" i="7"/>
  <c r="Q44" i="7"/>
  <c r="Q36" i="7"/>
  <c r="Q28" i="7"/>
  <c r="Q20" i="7"/>
  <c r="Q12" i="7"/>
  <c r="Q43" i="7"/>
  <c r="Q35" i="7"/>
  <c r="Q27" i="7"/>
  <c r="Q19" i="7"/>
  <c r="Q11" i="7"/>
  <c r="Q3" i="7"/>
  <c r="Q42" i="7"/>
  <c r="Q34" i="7"/>
  <c r="Q26" i="7"/>
  <c r="Q18" i="7"/>
  <c r="Q10" i="7"/>
  <c r="Q41" i="7"/>
  <c r="Q33" i="7"/>
  <c r="Q25" i="7"/>
  <c r="Q17" i="7"/>
  <c r="Q9" i="7"/>
  <c r="Q40" i="7"/>
  <c r="Q32" i="7"/>
  <c r="Q24" i="7"/>
  <c r="Q16" i="7"/>
  <c r="Q8" i="7"/>
  <c r="Q2" i="7"/>
  <c r="Q39" i="7"/>
  <c r="Q31" i="7"/>
  <c r="Q23" i="7"/>
  <c r="Q15" i="7"/>
  <c r="Q7" i="7"/>
  <c r="Q46" i="7"/>
  <c r="Q38" i="7"/>
  <c r="Q30" i="7"/>
  <c r="Q22" i="7"/>
  <c r="Q14" i="7"/>
  <c r="Q6" i="7"/>
  <c r="T31" i="7"/>
  <c r="U31" i="7"/>
  <c r="O46" i="6"/>
  <c r="O38" i="6"/>
  <c r="O30" i="6"/>
  <c r="O22" i="6"/>
  <c r="O14" i="6"/>
  <c r="O6" i="6"/>
  <c r="AD28" i="6" s="1"/>
  <c r="N41" i="6"/>
  <c r="N33" i="6"/>
  <c r="N25" i="6"/>
  <c r="N17" i="6"/>
  <c r="X4" i="6" s="1"/>
  <c r="N9" i="6"/>
  <c r="R43" i="6"/>
  <c r="R35" i="6"/>
  <c r="R27" i="6"/>
  <c r="R19" i="6"/>
  <c r="R11" i="6"/>
  <c r="R3" i="6"/>
  <c r="D6" i="8"/>
  <c r="N39" i="6"/>
  <c r="N15" i="6"/>
  <c r="N7" i="6"/>
  <c r="N23" i="6"/>
  <c r="N31" i="6"/>
  <c r="N2" i="6"/>
  <c r="C6" i="8"/>
  <c r="K6" i="8"/>
  <c r="J6" i="8"/>
  <c r="O39" i="6"/>
  <c r="O7" i="6"/>
  <c r="N22" i="6"/>
  <c r="R45" i="6"/>
  <c r="N38" i="6"/>
  <c r="N14" i="6"/>
  <c r="N45" i="6"/>
  <c r="N29" i="6"/>
  <c r="N13" i="6"/>
  <c r="O33" i="6"/>
  <c r="O17" i="6"/>
  <c r="AE4" i="6" s="1"/>
  <c r="O31" i="6"/>
  <c r="R37" i="6"/>
  <c r="N46" i="6"/>
  <c r="N30" i="6"/>
  <c r="N6" i="6"/>
  <c r="N37" i="6"/>
  <c r="N21" i="6"/>
  <c r="N5" i="6"/>
  <c r="O41" i="6"/>
  <c r="O25" i="6"/>
  <c r="N44" i="6"/>
  <c r="N36" i="6"/>
  <c r="N28" i="6"/>
  <c r="N20" i="6"/>
  <c r="N12" i="6"/>
  <c r="N4" i="6"/>
  <c r="R40" i="6"/>
  <c r="R32" i="6"/>
  <c r="R24" i="6"/>
  <c r="R16" i="6"/>
  <c r="R8" i="6"/>
  <c r="O24" i="6"/>
  <c r="R29" i="6"/>
  <c r="O23" i="6"/>
  <c r="R21" i="6"/>
  <c r="R13" i="6"/>
  <c r="O2" i="6"/>
  <c r="O15" i="6"/>
  <c r="R5" i="6"/>
  <c r="O44" i="6"/>
  <c r="O36" i="6"/>
  <c r="O28" i="6"/>
  <c r="O20" i="6"/>
  <c r="O12" i="6"/>
  <c r="O4" i="6"/>
  <c r="R41" i="6"/>
  <c r="R33" i="6"/>
  <c r="R25" i="6"/>
  <c r="R17" i="6"/>
  <c r="AL4" i="6" s="1"/>
  <c r="R9" i="6"/>
  <c r="O43" i="6"/>
  <c r="O35" i="6"/>
  <c r="O27" i="6"/>
  <c r="O19" i="6"/>
  <c r="O11" i="6"/>
  <c r="Q11" i="6" s="1"/>
  <c r="O3" i="6"/>
  <c r="O42" i="6"/>
  <c r="O34" i="6"/>
  <c r="O26" i="6"/>
  <c r="O18" i="6"/>
  <c r="O10" i="6"/>
  <c r="Q10" i="6" s="1"/>
  <c r="R46" i="6"/>
  <c r="R38" i="6"/>
  <c r="R30" i="6"/>
  <c r="R22" i="6"/>
  <c r="R14" i="6"/>
  <c r="R6" i="6"/>
  <c r="W3" i="6" l="1"/>
  <c r="AE31" i="6"/>
  <c r="AC28" i="6"/>
  <c r="AC56" i="6"/>
  <c r="AD6" i="6"/>
  <c r="AC30" i="6"/>
  <c r="AD57" i="6"/>
  <c r="V4" i="6"/>
  <c r="AD31" i="6"/>
  <c r="AD29" i="6"/>
  <c r="AE57" i="6"/>
  <c r="AK5" i="6"/>
  <c r="W2" i="6"/>
  <c r="AC2" i="6"/>
  <c r="AC29" i="6"/>
  <c r="AC58" i="6"/>
  <c r="AC54" i="6"/>
  <c r="V3" i="6"/>
  <c r="AE6" i="6"/>
  <c r="AD30" i="6"/>
  <c r="AE27" i="6"/>
  <c r="AE56" i="6"/>
  <c r="AD27" i="6"/>
  <c r="AC27" i="6"/>
  <c r="AE5" i="6"/>
  <c r="AC55" i="6"/>
  <c r="AC57" i="6"/>
  <c r="AC31" i="6"/>
  <c r="AE30" i="6"/>
  <c r="AE28" i="6"/>
  <c r="AK2" i="6"/>
  <c r="V6" i="7"/>
  <c r="V2" i="7"/>
  <c r="V5" i="7"/>
  <c r="V3" i="7"/>
  <c r="V4" i="7"/>
  <c r="AD58" i="6"/>
  <c r="AE55" i="6"/>
  <c r="AE29" i="6"/>
  <c r="AD55" i="6"/>
  <c r="AE54" i="6"/>
  <c r="AD56" i="6"/>
  <c r="AD54" i="6"/>
  <c r="AE58" i="6"/>
  <c r="W5" i="7"/>
  <c r="W4" i="7"/>
  <c r="U6" i="7"/>
  <c r="W2" i="7"/>
  <c r="W3" i="7"/>
  <c r="AD4" i="6"/>
  <c r="AL2" i="6"/>
  <c r="AD3" i="6"/>
  <c r="AE3" i="6"/>
  <c r="W4" i="6"/>
  <c r="AK4" i="6"/>
  <c r="X3" i="6"/>
  <c r="X5" i="6"/>
  <c r="V5" i="6"/>
  <c r="AK3" i="6"/>
  <c r="V2" i="6"/>
  <c r="X2" i="6"/>
  <c r="AK6" i="6"/>
  <c r="AD5" i="6"/>
  <c r="AL5" i="6"/>
  <c r="AL3" i="6"/>
  <c r="AE2" i="6"/>
  <c r="AC3" i="6"/>
  <c r="AL6" i="6"/>
  <c r="P5" i="6"/>
  <c r="AD2" i="6"/>
  <c r="W5" i="6"/>
  <c r="AJ5" i="6"/>
  <c r="AJ4" i="6"/>
  <c r="AJ2" i="6"/>
  <c r="AJ6" i="6"/>
  <c r="AJ3" i="6"/>
  <c r="AC6" i="6"/>
  <c r="AC5" i="6"/>
  <c r="U5" i="7"/>
  <c r="P42" i="6"/>
  <c r="Q42" i="6"/>
  <c r="P46" i="6"/>
  <c r="Q46" i="6"/>
  <c r="P44" i="6"/>
  <c r="Q44" i="6"/>
  <c r="P31" i="6"/>
  <c r="Q31" i="6"/>
  <c r="P23" i="6"/>
  <c r="Q23" i="6"/>
  <c r="P33" i="6"/>
  <c r="Q33" i="6"/>
  <c r="P7" i="6"/>
  <c r="Q7" i="6"/>
  <c r="P6" i="6"/>
  <c r="Q6" i="6"/>
  <c r="P32" i="6"/>
  <c r="Q32" i="6"/>
  <c r="P28" i="6"/>
  <c r="Q28" i="6"/>
  <c r="P25" i="6"/>
  <c r="Q25" i="6"/>
  <c r="P40" i="6"/>
  <c r="Q40" i="6"/>
  <c r="Q17" i="6"/>
  <c r="P19" i="6"/>
  <c r="Q19" i="6"/>
  <c r="P27" i="6"/>
  <c r="Q27" i="6"/>
  <c r="P4" i="6"/>
  <c r="Q4" i="6"/>
  <c r="P24" i="6"/>
  <c r="Q24" i="6"/>
  <c r="P39" i="6"/>
  <c r="Q39" i="6"/>
  <c r="P14" i="6"/>
  <c r="Q14" i="6"/>
  <c r="P37" i="6"/>
  <c r="Q37" i="6"/>
  <c r="P34" i="6"/>
  <c r="Q34" i="6"/>
  <c r="P2" i="6"/>
  <c r="Q2" i="6"/>
  <c r="P36" i="6"/>
  <c r="Q36" i="6"/>
  <c r="P3" i="6"/>
  <c r="Q3" i="6"/>
  <c r="P41" i="6"/>
  <c r="Q41" i="6"/>
  <c r="P18" i="6"/>
  <c r="Q18" i="6"/>
  <c r="P35" i="6"/>
  <c r="Q35" i="6"/>
  <c r="P12" i="6"/>
  <c r="Q12" i="6"/>
  <c r="L6" i="8"/>
  <c r="P22" i="6"/>
  <c r="Q22" i="6"/>
  <c r="P29" i="6"/>
  <c r="Q29" i="6"/>
  <c r="P26" i="6"/>
  <c r="Q26" i="6"/>
  <c r="P43" i="6"/>
  <c r="Q43" i="6"/>
  <c r="P20" i="6"/>
  <c r="Q20" i="6"/>
  <c r="P15" i="6"/>
  <c r="Q15" i="6"/>
  <c r="P16" i="6"/>
  <c r="Q16" i="6"/>
  <c r="P21" i="6"/>
  <c r="Q21" i="6"/>
  <c r="P38" i="6"/>
  <c r="Q38" i="6"/>
  <c r="P8" i="6"/>
  <c r="Q8" i="6"/>
  <c r="P30" i="6"/>
  <c r="Q30" i="6"/>
  <c r="W6" i="6"/>
  <c r="AA2" i="7" a="1"/>
  <c r="AA2" i="7" s="1"/>
  <c r="AA3" i="7" s="1"/>
  <c r="X6" i="6"/>
  <c r="X7" i="6" s="1"/>
  <c r="X31" i="7"/>
  <c r="U2" i="7"/>
  <c r="T2" i="7"/>
  <c r="U3" i="7"/>
  <c r="T5" i="7"/>
  <c r="U4" i="7"/>
  <c r="AB2" i="7" a="1"/>
  <c r="AB2" i="7" s="1"/>
  <c r="AB3" i="7" s="1"/>
  <c r="T6" i="7"/>
  <c r="T3" i="7"/>
  <c r="T4" i="7"/>
  <c r="AC2" i="7" a="1"/>
  <c r="AC2" i="7" s="1"/>
  <c r="AC3" i="7" s="1"/>
  <c r="E6" i="8"/>
  <c r="P17" i="6"/>
  <c r="V6" i="6"/>
  <c r="AC4" i="6"/>
  <c r="AI3" i="5"/>
  <c r="AJ3" i="5" s="1"/>
  <c r="AI4" i="5"/>
  <c r="AJ4" i="5" s="1"/>
  <c r="AI5" i="5"/>
  <c r="AJ5" i="5" s="1"/>
  <c r="AI6" i="5"/>
  <c r="AJ6" i="5" s="1"/>
  <c r="AI7" i="5"/>
  <c r="AJ7" i="5" s="1"/>
  <c r="AI8" i="5"/>
  <c r="AJ8" i="5" s="1"/>
  <c r="AI9" i="5"/>
  <c r="AJ9" i="5" s="1"/>
  <c r="AI10" i="5"/>
  <c r="AJ10" i="5" s="1"/>
  <c r="AI11" i="5"/>
  <c r="AJ11" i="5" s="1"/>
  <c r="AI12" i="5"/>
  <c r="AJ12" i="5" s="1"/>
  <c r="AI13" i="5"/>
  <c r="AJ13" i="5" s="1"/>
  <c r="AI14" i="5"/>
  <c r="AJ14" i="5" s="1"/>
  <c r="AI15" i="5"/>
  <c r="AJ15" i="5" s="1"/>
  <c r="AI16" i="5"/>
  <c r="AJ16" i="5" s="1"/>
  <c r="AI17" i="5"/>
  <c r="AJ17" i="5" s="1"/>
  <c r="AI18" i="5"/>
  <c r="AJ18" i="5" s="1"/>
  <c r="AI2" i="5"/>
  <c r="AJ2" i="5" s="1"/>
  <c r="Z3" i="5"/>
  <c r="Z4" i="5"/>
  <c r="Y3" i="5"/>
  <c r="Y4" i="5"/>
  <c r="Y2" i="5"/>
  <c r="Z2" i="5"/>
  <c r="X3" i="5"/>
  <c r="X4" i="5"/>
  <c r="X2" i="5"/>
  <c r="Q4" i="5"/>
  <c r="R4" i="5" s="1"/>
  <c r="Q3" i="5"/>
  <c r="Q2" i="5"/>
  <c r="R2" i="5" s="1"/>
  <c r="K12" i="5"/>
  <c r="J12" i="5"/>
  <c r="D3" i="5"/>
  <c r="D4" i="5"/>
  <c r="D2" i="5"/>
  <c r="C3" i="5"/>
  <c r="C4" i="5"/>
  <c r="C2" i="5"/>
  <c r="B3" i="5"/>
  <c r="B4" i="5"/>
  <c r="AE32" i="6" l="1"/>
  <c r="AD59" i="6"/>
  <c r="AE59" i="6"/>
  <c r="V7" i="7"/>
  <c r="AC59" i="6"/>
  <c r="AF59" i="6" s="1"/>
  <c r="AC32" i="6"/>
  <c r="AD32" i="6"/>
  <c r="B5" i="5"/>
  <c r="W7" i="7"/>
  <c r="C5" i="5"/>
  <c r="Q5" i="5"/>
  <c r="D5" i="5"/>
  <c r="E5" i="5" s="1"/>
  <c r="W7" i="6"/>
  <c r="U7" i="7"/>
  <c r="T7" i="7"/>
  <c r="AM4" i="5"/>
  <c r="AM5" i="5"/>
  <c r="AM6" i="5"/>
  <c r="AN3" i="5"/>
  <c r="AN4" i="5"/>
  <c r="AN5" i="5"/>
  <c r="AM3" i="5"/>
  <c r="R3" i="5"/>
  <c r="R5" i="5" s="1"/>
  <c r="S5" i="5" s="1"/>
  <c r="V7" i="6"/>
  <c r="AE7" i="6"/>
  <c r="AJ7" i="6"/>
  <c r="AC7" i="6"/>
  <c r="AD7" i="6"/>
  <c r="AK7" i="6"/>
  <c r="AL7" i="6"/>
  <c r="Z5" i="5"/>
  <c r="Y5" i="5"/>
  <c r="X5" i="5"/>
  <c r="L12" i="5"/>
  <c r="AF32" i="6" l="1"/>
  <c r="X7" i="7"/>
  <c r="Y7" i="6"/>
  <c r="AM7" i="6"/>
  <c r="AF7" i="6"/>
  <c r="AA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tc={68683FAF-6902-4739-9C43-5E23525A77C4}</author>
    <author>tc={3470D684-2D38-40DB-B07C-16F4DCD993B5}</author>
    <author>tc={D2A6A6EC-60D0-4E9C-8A71-DFDC40D27D94}</author>
    <author>tc={BED8DC7C-E9BE-4198-939B-2853AEBFEF92}</author>
    <author>tc={CA92E017-EE11-4A4B-8C3D-71DA7E01AB86}</author>
    <author>tc={0DFDBF7D-4576-4D40-BB3C-6D3AD471F9AF}</author>
    <author>tc={7246E727-8C90-4EAB-8B2C-099DB8C51FAC}</author>
    <author>tc={43D1B7D6-50A8-4C63-A17C-93FC8E001EFE}</author>
    <author>tc={2C0CC7B4-D3E1-4587-ACF2-82A89FD98B3B}</author>
    <author>tc={8FD64839-F6B1-4B4C-BC26-2DC157854487}</author>
    <author>tc={398420A9-B0D4-4B87-8B9A-2ADBE40B5A2E}</author>
    <author>tc={091CE245-E7C0-4CC5-B8EA-602088FFDB39}</author>
    <author>tc={5F622325-1668-4B0C-88F4-BD23C0FDC861}</author>
    <author>tc={5A6B5AF9-3BD9-4DF5-B7AC-6A79DE8B3E47}</author>
    <author>tc={939F768B-E1DD-4BED-AE20-BFCC197C0BDC}</author>
    <author>tc={C75399C7-5221-4001-A692-F2C4C8BD08A8}</author>
    <author>tc={A6C82DAB-099D-4B0B-901F-EF9DD10C100C}</author>
    <author>tc={27E305CC-31F0-421D-BA62-F30A77D37B6F}</author>
    <author>tc={1374D6B2-0C32-4FDA-AF13-C5F14B6649F7}</author>
    <author>tc={C98E37CD-7F9C-4249-86DA-2C0D3FAAEB35}</author>
    <author>tc={BE0D622D-1F5A-44BB-9DEA-13F3D62F6F74}</author>
  </authors>
  <commentList>
    <comment ref="S2" authorId="0" shapeId="0" xr:uid="{68683FAF-6902-4739-9C43-5E23525A77C4}">
      <text>
        <t>[Threaded comment]
Your version of Excel allows you to read this threaded comment; however, any edits to it will get removed if the file is opened in a newer version of Excel. Learn more: https://go.microsoft.com/fwlink/?linkid=870924
Comment:
    .44</t>
      </text>
    </comment>
    <comment ref="AA2" authorId="1" shapeId="0" xr:uid="{3470D684-2D38-40DB-B07C-16F4DCD993B5}">
      <text>
        <t>[Threaded comment]
Your version of Excel allows you to read this threaded comment; however, any edits to it will get removed if the file is opened in a newer version of Excel. Learn more: https://go.microsoft.com/fwlink/?linkid=870924
Comment:
    .202
.209</t>
      </text>
    </comment>
    <comment ref="AE2" authorId="2" shapeId="0" xr:uid="{D2A6A6EC-60D0-4E9C-8A71-DFDC40D27D94}">
      <text>
        <t xml:space="preserve">[Threaded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t>
      </text>
    </comment>
    <comment ref="AF2" authorId="3" shapeId="0" xr:uid="{BED8DC7C-E9BE-4198-939B-2853AEBFEF92}">
      <text>
        <t>[Threaded comment]
Your version of Excel allows you to read this threaded comment; however, any edits to it will get removed if the file is opened in a newer version of Excel. Learn more: https://go.microsoft.com/fwlink/?linkid=870924
Comment:
    .52?
.196</t>
      </text>
    </comment>
    <comment ref="AA3" authorId="4" shapeId="0" xr:uid="{CA92E017-EE11-4A4B-8C3D-71DA7E01AB86}">
      <text>
        <t>[Threaded comment]
Your version of Excel allows you to read this threaded comment; however, any edits to it will get removed if the file is opened in a newer version of Excel. Learn more: https://go.microsoft.com/fwlink/?linkid=870924
Comment:
    .127</t>
      </text>
    </comment>
    <comment ref="AB4" authorId="5" shapeId="0" xr:uid="{0DFDBF7D-4576-4D40-BB3C-6D3AD471F9AF}">
      <text>
        <t>[Threaded comment]
Your version of Excel allows you to read this threaded comment; however, any edits to it will get removed if the file is opened in a newer version of Excel. Learn more: https://go.microsoft.com/fwlink/?linkid=870924
Comment:
    .381</t>
      </text>
    </comment>
    <comment ref="AD4" authorId="6" shapeId="0" xr:uid="{7246E727-8C90-4EAB-8B2C-099DB8C51FAC}">
      <text>
        <t>[Threaded comment]
Your version of Excel allows you to read this threaded comment; however, any edits to it will get removed if the file is opened in a newer version of Excel. Learn more: https://go.microsoft.com/fwlink/?linkid=870924
Comment:
    .381</t>
      </text>
    </comment>
    <comment ref="AE4" authorId="7" shapeId="0" xr:uid="{43D1B7D6-50A8-4C63-A17C-93FC8E001EFE}">
      <text>
        <t>[Threaded comment]
Your version of Excel allows you to read this threaded comment; however, any edits to it will get removed if the file is opened in a newer version of Excel. Learn more: https://go.microsoft.com/fwlink/?linkid=870924
Comment:
    .24
.69
.293</t>
      </text>
    </comment>
    <comment ref="AF4" authorId="8" shapeId="0" xr:uid="{2C0CC7B4-D3E1-4587-ACF2-82A89FD98B3B}">
      <text>
        <t>[Threaded comment]
Your version of Excel allows you to read this threaded comment; however, any edits to it will get removed if the file is opened in a newer version of Excel. Learn more: https://go.microsoft.com/fwlink/?linkid=870924
Comment:
    .381</t>
      </text>
    </comment>
    <comment ref="Y6" authorId="9" shapeId="0" xr:uid="{8FD64839-F6B1-4B4C-BC26-2DC157854487}">
      <text>
        <t>[Threaded comment]
Your version of Excel allows you to read this threaded comment; however, any edits to it will get removed if the file is opened in a newer version of Excel. Learn more: https://go.microsoft.com/fwlink/?linkid=870924
Comment:
    .122
.412
v
.351</t>
      </text>
    </comment>
    <comment ref="AA6" authorId="10" shapeId="0" xr:uid="{398420A9-B0D4-4B87-8B9A-2ADBE40B5A2E}">
      <text>
        <t>[Threaded comment]
Your version of Excel allows you to read this threaded comment; however, any edits to it will get removed if the file is opened in a newer version of Excel. Learn more: https://go.microsoft.com/fwlink/?linkid=870924
Comment:
    .38?</t>
      </text>
    </comment>
    <comment ref="AF6" authorId="11" shapeId="0" xr:uid="{091CE245-E7C0-4CC5-B8EA-602088FFDB39}">
      <text>
        <t>[Threaded comment]
Your version of Excel allows you to read this threaded comment; however, any edits to it will get removed if the file is opened in a newer version of Excel. Learn more: https://go.microsoft.com/fwlink/?linkid=870924
Comment:
    .27
.39</t>
      </text>
    </comment>
    <comment ref="Q11" authorId="12" shapeId="0" xr:uid="{5F622325-1668-4B0C-88F4-BD23C0FDC861}">
      <text>
        <t>[Threaded comment]
Your version of Excel allows you to read this threaded comment; however, any edits to it will get removed if the file is opened in a newer version of Excel. Learn more: https://go.microsoft.com/fwlink/?linkid=870924
Comment:
    Check</t>
      </text>
    </comment>
    <comment ref="D14" authorId="13" shapeId="0" xr:uid="{5A6B5AF9-3BD9-4DF5-B7AC-6A79DE8B3E4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t>
      </text>
    </comment>
    <comment ref="E14" authorId="14" shapeId="0" xr:uid="{939F768B-E1DD-4BED-AE20-BFCC197C0BDC}">
      <text>
        <t xml:space="preserve">[Threaded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t>
      </text>
    </comment>
    <comment ref="Q14" authorId="15" shapeId="0" xr:uid="{C75399C7-5221-4001-A692-F2C4C8BD08A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E18" authorId="16" shapeId="0" xr:uid="{A6C82DAB-099D-4B0B-901F-EF9DD10C100C}">
      <text>
        <t>[Threaded comment]
Your version of Excel allows you to read this threaded comment; however, any edits to it will get removed if the file is opened in a newer version of Excel. Learn more: https://go.microsoft.com/fwlink/?linkid=870924
Comment:
    Das Verfahren wird ausgesetzt.</t>
      </text>
    </comment>
    <comment ref="D26" authorId="17" shapeId="0" xr:uid="{27E305CC-31F0-421D-BA62-F30A77D37B6F}">
      <text>
        <t>[Threaded comment]
Your version of Excel allows you to read this threaded comment; however, any edits to it will get removed if the file is opened in a newer version of Excel. Learn more: https://go.microsoft.com/fwlink/?linkid=870924
Comment:
    _Kather</t>
      </text>
    </comment>
    <comment ref="E26" authorId="18" shapeId="0" xr:uid="{1374D6B2-0C32-4FDA-AF13-C5F14B6649F7}">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E27" authorId="19" shapeId="0" xr:uid="{C98E37CD-7F9C-4249-86DA-2C0D3FAAEB35}">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N30" authorId="20" shapeId="0" xr:uid="{BE0D622D-1F5A-44BB-9DEA-13F3D62F6F74}">
      <text>
        <t>[Threaded comment]
Your version of Excel allows you to read this threaded comment; however, any edits to it will get removed if the file is opened in a newer version of Excel. Learn more: https://go.microsoft.com/fwlink/?linkid=870924
Comment:
    25.02.2021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tc={0B53F71B-9D33-4B8B-A9E9-27ED256E5E0F}</author>
    <author>tc={1ED44B2E-FD6D-4A72-BEB6-E7902ECAF376}</author>
    <author>tc={8D8ED45E-6D84-4793-A13F-E2A21A9C9710}</author>
    <author>tc={6AC1AE1D-6FB4-4FB2-B08A-79BDBAC4B86F}</author>
    <author>tc={33D81D4B-BF2F-42B0-8899-8BFFB95F3302}</author>
  </authors>
  <commentList>
    <comment ref="D2" authorId="0" shapeId="0" xr:uid="{0B53F71B-9D33-4B8B-A9E9-27ED256E5E0F}">
      <text>
        <t xml:space="preserve">[Threaded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t>
      </text>
    </comment>
    <comment ref="E5" authorId="1" shapeId="0" xr:uid="{1ED44B2E-FD6D-4A72-BEB6-E7902ECAF376}">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A8" authorId="2" shapeId="0" xr:uid="{8D8ED45E-6D84-4793-A13F-E2A21A9C9710}">
      <text>
        <t xml:space="preserve">[Threaded comment]
Your version of Excel allows you to read this threaded comment; however, any edits to it will get removed if the file is opened in a newer version of Excel. Learn more: https://go.microsoft.com/fwlink/?linkid=870924
Comment:
    7 O 14091/19 </t>
      </text>
    </comment>
    <comment ref="C8" authorId="3" shapeId="0" xr:uid="{6AC1AE1D-6FB4-4FB2-B08A-79BDBAC4B86F}">
      <text>
        <t>[Threaded comment]
Your version of Excel allows you to read this threaded comment; however, any edits to it will get removed if the file is opened in a newer version of Excel. Learn more: https://go.microsoft.com/fwlink/?linkid=870924
Comment:
    Depends on the Aktenzeichen</t>
      </text>
    </comment>
    <comment ref="N11" authorId="4" shapeId="0" xr:uid="{33D81D4B-BF2F-42B0-8899-8BFFB95F3302}">
      <text>
        <t>[Threaded comment]
Your version of Excel allows you to read this threaded comment; however, any edits to it will get removed if the file is opened in a newer version of Excel. Learn more: https://go.microsoft.com/fwlink/?linkid=870924
Comment:
    02.10.2019</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tc={51791408-2026-449B-B78A-BA69B8FA879C}</author>
    <author>tc={9F6C47E2-E6B4-4CD2-AFB0-C63422A386DC}</author>
    <author>tc={47A770AA-8A55-4446-A705-89458ADA4EFE}</author>
    <author>tc={A210A82E-DC9B-474D-B083-F82C460F76EE}</author>
    <author>tc={21C769A6-824B-4E79-8BAE-DF44EF4028B0}</author>
  </authors>
  <commentList>
    <comment ref="Q2" authorId="0" shapeId="0" xr:uid="{51791408-2026-449B-B78A-BA69B8FA879C}">
      <text>
        <t>[Threaded comment]
Your version of Excel allows you to read this threaded comment; however, any edits to it will get removed if the file is opened in a newer version of Excel. Learn more: https://go.microsoft.com/fwlink/?linkid=870924
Comment:
    check</t>
      </text>
    </comment>
    <comment ref="E5" authorId="1" shapeId="0" xr:uid="{9F6C47E2-E6B4-4CD2-AFB0-C63422A386DC}">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D6" authorId="2" shapeId="0" xr:uid="{47A770AA-8A55-4446-A705-89458ADA4EFE}">
      <text>
        <t xml:space="preserve">[Threaded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
      </text>
    </comment>
    <comment ref="C7" authorId="3" shapeId="0" xr:uid="{A210A82E-DC9B-474D-B083-F82C460F76EE}">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C8" authorId="4" shapeId="0" xr:uid="{21C769A6-824B-4E79-8BAE-DF44EF4028B0}">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tc={3811A881-8CF3-4CEE-AD1F-C478655CCAF6}</author>
    <author>tc={760D0934-BF9D-4C69-AF37-1550B8C132F6}</author>
    <author>tc={09ABC5ED-676B-421E-8C70-24D2B651E89A}</author>
    <author>tc={3FC0B788-4BA4-41E5-9503-44B804CF0B82}</author>
    <author>tc={F5A0BE9F-4E30-4E8E-A595-3BDD3582257D}</author>
    <author>tc={54BDBA3F-0F0E-4E2C-AF7F-51E919A64ED0}</author>
    <author>tc={5C6604AF-E5AE-43FE-9331-6C0D6681ACC3}</author>
    <author>tc={C6B75D7A-40EF-4581-970A-2428EA435849}</author>
    <author>tc={892B7398-9B6C-4A75-9187-8D2A19EC883E}</author>
    <author>tc={F7ECCF8D-F121-43B0-AFFC-4E1B8740309B}</author>
    <author>tc={3B01E2B0-4600-42D9-8A42-09387AE94935}</author>
    <author>tc={05C730CB-E528-4FBE-910E-7CEAC7287E64}</author>
    <author>tc={D4B076FD-B996-455E-949F-5B061DCFF774}</author>
    <author>tc={EB0E70F6-30E2-43B2-943A-1B1E29B77F85}</author>
    <author>tc={C76B113D-2116-4F6D-B482-2F9484C43605}</author>
    <author>tc={69EE2237-2F26-4DB5-B64E-FBACC48C9B2A}</author>
    <author>tc={BCB95FAD-D1B2-4DB6-ABAB-12A6049381EF}</author>
    <author>tc={D80FC576-C009-4925-9C49-782EEB13233F}</author>
    <author>tc={F26FABA7-BF63-4365-B691-F2D482124B24}</author>
    <author>tc={25FEC53B-1F02-480D-8A02-F205E5231F1C}</author>
    <author>tc={F0540B8A-E4E2-4783-AB3B-FDC1AC4E12C0}</author>
    <author>tc={C7A34E9B-42D6-4223-A2EC-B83E648A12E1}</author>
    <author>tc={0FDF7B4E-F80B-4D5D-9508-BCA76E1AF56D}</author>
    <author>tc={ACEA1250-EEE4-45B6-A7F1-E3EEA885D7B5}</author>
    <author>tc={DF4F750F-4B2B-4D46-A026-467AA325150E}</author>
    <author>tc={F2865A39-B2F2-4BA3-8B7F-E47904718F88}</author>
    <author>tc={3B039CF9-F112-4241-9EB5-92FBBCE7E65D}</author>
    <author>tc={E444A568-6EE7-4F2F-B9C7-4B5CEB3C440C}</author>
    <author>tc={EF6135B1-3B0B-4CE4-AE02-BA4C789FE242}</author>
    <author>tc={4975D8EC-BB7B-4105-BCA0-009A957DF48B}</author>
    <author>tc={8DB86B3D-DD11-4949-910D-9E0128DC65BB}</author>
    <author>tc={CCD9029B-A84F-4461-9CC9-C4357A3F04C4}</author>
    <author>tc={94390C78-891B-4C95-81E6-C4BC83535A9C}</author>
    <author>tc={9B5DAED8-A47B-4E28-8D97-A5560CDC1A9E}</author>
    <author>tc={296F93B9-99F2-4F61-BECE-7A0D761E461C}</author>
    <author>tc={470EA1B4-933D-4D82-ABF2-A135E493EB3D}</author>
    <author>tc={09131516-692C-4B01-8F50-614CC71997B1}</author>
    <author>tc={7BEC2076-7775-45DA-8B7A-EDAF8A2A8F1D}</author>
    <author>tc={E040E2EA-F314-47C3-A4D7-7285C84B659B}</author>
    <author>tc={FCA31237-0129-460F-95BE-17CD3E4FAE43}</author>
    <author>tc={3B6F62CD-8C36-4DB7-B988-00F5708CFFF8}</author>
    <author>tc={812F0DB0-E05C-4307-820F-B4B476F4D206}</author>
    <author>tc={5B875332-954D-443C-A26F-D7BB2CA73FC4}</author>
    <author>tc={3291FD65-FB42-4CFE-83D1-F9B0F8B0E11F}</author>
    <author>tc={03408F56-DCA7-474D-9890-A81344099983}</author>
    <author>tc={14EECA60-1568-4BEE-9B81-52C91F651007}</author>
    <author>tc={030E568B-0477-4849-99AD-701B3409CA6B}</author>
    <author>tc={4DFA10F8-FFAF-40E8-AEAD-6A4A435A3AC0}</author>
    <author>tc={40293D9B-C217-45CB-A759-3741CA78C250}</author>
    <author>tc={AE1B4C6D-7DA6-43D8-85AD-CDAF7C9C46E8}</author>
    <author>tc={F8B9546E-0ABB-4188-A044-8D933801575D}</author>
    <author>tc={B9E1F801-C038-4F28-B919-33BB386C70D8}</author>
    <author>tc={187BDEB0-606B-4E63-A04E-527C71C15A71}</author>
    <author>tc={6A44D9E4-EAD3-45EC-A41C-30B267D5ECCA}</author>
    <author>tc={DB252D02-6A56-4621-8D64-06B565A4D57E}</author>
    <author>tc={960A4AFE-1AB4-4DC6-8ADE-2516530F9C9B}</author>
    <author>tc={F733FB17-9710-4888-BEE8-AD542F8DF91A}</author>
    <author>tc={49EBB7D2-AB62-4CEE-9C03-D8A3171CEA2C}</author>
    <author>tc={243AB504-4E91-48DF-B7F5-661F93FF4C01}</author>
    <author>tc={DEEF59A0-8B3B-4ABD-8775-D25C530FA377}</author>
    <author>tc={DEC2603D-A0DE-42D2-BC5A-2A8CBB7EE2D7}</author>
    <author>tc={148B6DA7-75BB-40CA-86FE-2647624F9A24}</author>
    <author>tc={44956432-A9AB-471E-8893-FC70F81C9DA2}</author>
    <author>tc={69ECBD18-BD0E-4058-B923-B815FDE951A3}</author>
    <author>tc={4D7FB27D-FF9E-4A0B-BCA5-F7858A4A4891}</author>
    <author>tc={AC747E91-32BF-438A-B0A5-52F5DC0EEB0A}</author>
    <author>tc={260428E4-E23D-40B2-8FF1-C5136A23A65F}</author>
    <author>tc={75D65F61-A5B2-430D-839E-BC16D2E1E28A}</author>
    <author>tc={A1EB9518-D83A-47E4-8D9E-4633D922A90B}</author>
    <author>tc={56D2B1A3-D2D5-45C1-A0F9-8F8612C3B8CD}</author>
    <author>tc={8972FBC0-F1E4-47A4-B343-0DE72570A0FD}</author>
    <author>tc={73E1787A-B21D-47A1-A113-9153568C4472}</author>
    <author>tc={2874E882-837E-4B1B-B2A0-BFAC526D7DFD}</author>
    <author>tc={E28910C6-A962-496F-97C2-E7F89365FB12}</author>
    <author>tc={E7FE2167-966E-4AEE-B2C4-B48109B61499}</author>
    <author>tc={C20BA7D8-E49F-4E1B-9CFA-C1130061E9EC}</author>
    <author>tc={105A1EF1-EEF6-4094-AC34-32D28EBB6ECA}</author>
    <author>tc={B0EB4E27-D21A-41BB-901D-D12FC1C8ABE4}</author>
    <author>tc={3EB0BB67-9B6A-414C-81BE-F885E20FBFCB}</author>
    <author>tc={50B61ECB-69F7-42D3-A7D8-C70B6FF311A0}</author>
    <author>tc={573C5950-2F10-491A-B2FF-C9EE74287A53}</author>
    <author>tc={916713E7-708F-4478-9557-7BAC9060C1B9}</author>
    <author>tc={2E9FDB49-56F4-4B26-8F56-B2E973D56E0C}</author>
    <author>tc={8F109CA9-A73F-4D44-9853-7DF42497C09B}</author>
    <author>tc={458CCA5A-8A40-4514-B23F-802C0D07DF7C}</author>
    <author>tc={458CCA5A-8A40-4513-B23F-802C0D07DF7C}</author>
    <author>tc={C5576B95-FB4A-46B9-A90B-42D5350622B5}</author>
    <author>tc={32EF9CD7-BA2B-483C-BB0C-A46C079D3CEF}</author>
    <author>tc={2D5667F1-0566-448B-9EFA-89E7C1AB570F}</author>
    <author>tc={F4605D22-990D-4459-AC64-EA33DFCE2B33}</author>
    <author>tc={99C678DB-11A8-48A2-ADAA-7A51963FA428}</author>
    <author>tc={A569A70E-5132-4D1C-8E2C-BCD69901996D}</author>
    <author>tc={B9211CE3-9786-4DB4-AF30-2F4B436DF855}</author>
    <author>tc={1CC0472A-E895-4228-937F-B0E6895ED123}</author>
    <author>tc={57892AA3-FDEB-4730-9DA5-61DC02DBFE3C}</author>
    <author>tc={BD4BF902-3B15-4F98-B336-684F10E9EEF8}</author>
    <author>tc={14B9FB9F-507E-4335-AEB7-E016568814AF}</author>
    <author>tc={9138FA53-0D99-4E3F-A2F6-E2B056E8BD15}</author>
    <author>tc={652BDA78-2EC6-4AD4-9B64-392CF78A0D04}</author>
    <author>tc={2A3911DA-BA6D-4797-B2CC-6E6A04EF9ED3}</author>
    <author>tc={66F1C17D-8C5F-43A6-80D9-F95B914FE8BD}</author>
    <author>tc={2003293A-5D9D-4584-86F0-3D81A4438A89}</author>
    <author>tc={5CD7767F-5E3F-4243-98E0-A0F3FF28E7E1}</author>
    <author>tc={2A36B220-42A5-4B93-9692-2D5EF426F4D0}</author>
    <author>tc={F490BE34-E22B-410B-8612-A91490F9A111}</author>
    <author>tc={456CF1BF-27B3-4CAE-9FFD-AD72CC413060}</author>
    <author>tc={D77B8BBA-756E-488C-93FB-C91A3BAE99DE}</author>
    <author>tc={02285F79-8C4E-462D-B109-48FD2897F386}</author>
    <author>tc={80DD5EC9-385A-4DE2-8CFA-877ACF33A4B2}</author>
    <author>tc={95BE14B0-7503-4098-BA39-71FE63FE1207}</author>
    <author>tc={679FA712-0146-4E13-8641-2F8F1A011A69}</author>
    <author>tc={E57D2E1E-669E-4108-A7F7-7B86E181E865}</author>
    <author>tc={C7B009AF-D30C-487B-9EA2-6A94B48CAEF2}</author>
    <author>tc={2DC6096D-F550-4FF4-8077-746F5C34DAD4}</author>
    <author>tc={46E52BEA-6585-43C5-8219-2433D3F336A6}</author>
    <author>tc={B3471C83-0B98-4490-A0C6-13C30A9D7054}</author>
    <author>tc={C0DAFFF0-5F71-4335-810A-5C76BF02E094}</author>
    <author>tc={D2DCE1C1-1B73-47D7-81BE-11F288517D57}</author>
    <author>tc={518469CA-1F4A-46B0-BC2B-8099A7F31349}</author>
    <author>tc={FCCB471E-EE0A-4222-9705-4FB92564BDC8}</author>
    <author>tc={C0C84D00-BE63-4A2C-98A6-83AE40166A32}</author>
    <author>tc={68F1A096-FB48-4540-8EB7-EE23F006E619}</author>
    <author>tc={F8C5E988-6610-4EFC-A032-F3B269FF5BC5}</author>
    <author>tc={F70D2C06-E011-4631-ADE7-B8CA3FB8F229}</author>
    <author>tc={55385772-3D73-4046-BC54-86361972A274}</author>
    <author>tc={740B158C-5415-42F9-9A7D-42F54B1397D5}</author>
    <author>tc={A95BB7CE-E09A-4C3D-89AB-0769D461C0BD}</author>
    <author>tc={1DB01CCF-AE95-4AB3-BF47-913A232A3BD7}</author>
    <author>tc={D8C99A50-5FDB-4925-8FEE-039F3A5B39A1}</author>
    <author>tc={66C3080C-A5C6-44C1-8C07-981EBCDB6115}</author>
    <author>tc={523A47A7-9A1D-4B6A-B8C6-217DB7A7CCBB}</author>
    <author>tc={AC2B570A-15AB-43B5-AD1D-554728708421}</author>
    <author>tc={691A1B6F-FA88-4FD1-ADBD-B393A92BC9EA}</author>
    <author>tc={BB512E5E-D1FE-423D-8631-99DF600A5497}</author>
    <author>tc={1AE5DBD9-176F-472D-A58B-A2AF3EDDD55F}</author>
    <author>tc={D892EFA6-909A-4EA1-BA9A-B585B074222B}</author>
    <author>tc={B77E86EE-3E7D-46FF-88DE-01EE7D311119}</author>
    <author>tc={BAB8D0D4-EE33-46E7-A0A7-991C476FC3CB}</author>
    <author>tc={39B49277-791B-4CE3-969E-48DDD7B8F5A8}</author>
    <author>tc={2D5903F3-791C-4366-9C7A-4803D6F372F1}</author>
    <author>tc={94EEB219-E45B-48B7-B1B0-A2F1FFF2CF4B}</author>
    <author>tc={727633F1-BECC-458B-90DB-67F0D59EFBB2}</author>
    <author>tc={C405E714-911F-4686-9442-1886150507E2}</author>
    <author>tc={B1F16176-EEE7-44ED-BA26-8EC581D8F9C3}</author>
    <author>tc={3527BCF0-C7CF-4F36-A4F1-C308C8B701E2}</author>
    <author>tc={185A59BE-E584-4582-8716-34A0A928F4DD}</author>
    <author>tc={1B4F4FF7-7D19-4974-BF73-651178D1395C}</author>
    <author>tc={8E69EA43-EE77-41D4-BD95-E9238445985F}</author>
    <author>tc={B032F41A-5E1C-4213-96C7-BF9328181352}</author>
    <author>tc={664687A0-DB82-4AF5-8153-C7606A681006}</author>
    <author>tc={18156598-DA80-4B94-927C-F76D65D08C34}</author>
    <author>tc={39AE3E06-C470-474A-B0E0-F70CDA7D6AF2}</author>
    <author>tc={308A59EA-5608-4FAD-B349-CB840292CC82}</author>
    <author>tc={BC32D8AC-7D3C-4E99-8839-F048B5D1FE7D}</author>
    <author>tc={FE01621A-4E16-4131-92F3-B77F31FE5D4D}</author>
    <author>tc={4980AA7A-AFBA-466B-B56B-CEF1FBF31C03}</author>
    <author>tc={3F009848-342E-43D1-B7AC-4EA920CDE45C}</author>
    <author>tc={E1CCDFAA-33C1-4582-82D9-8A69C00030F5}</author>
    <author>tc={CA62744D-382D-46F5-987C-B23DDA77016B}</author>
    <author>tc={8FED05BD-F7FB-47AD-80DE-82F2470A042B}</author>
    <author>tc={B4C4C990-B26A-4ECC-8076-8D9ABC8206AD}</author>
    <author>tc={BB8D7B27-8DAA-411C-86A9-D053F02A1E64}</author>
    <author>tc={18A9A681-E061-408F-BA0C-576FE14086A8}</author>
    <author>tc={7AFD2C74-985C-45EF-BC01-89C9A6EF9BB4}</author>
    <author>tc={B27EA21D-005E-489D-918C-18C37841A300}</author>
    <author>tc={49DF1BA4-7F4C-4285-8947-2B8FB78006A5}</author>
    <author>tc={75B90ADD-5519-4BE2-A13B-C3BEB2DAB116}</author>
    <author>tc={398DB35F-FB63-4C5F-8E37-463981410CAA}</author>
    <author>tc={4985B4A8-6D6A-47A5-BECB-25374B5AAD91}</author>
    <author>tc={E7DFCAEE-04AF-4B50-8990-1410C0BA0D4F}</author>
    <author>tc={E1BE09B1-AC1C-4953-AEB2-19EFF1E9C5BA}</author>
    <author>tc={B8BE2593-076F-4172-AA7F-401D29A9826F}</author>
    <author>tc={248C2095-7B90-4E38-B465-584096FF90F9}</author>
    <author>tc={003941D1-422C-4766-8B64-D8DFCE45BB18}</author>
    <author>tc={61E83C3E-6605-46D7-8ECC-B7D26659021B}</author>
    <author>tc={318E850A-2CD0-422A-A8AD-23F22B3964E7}</author>
    <author>tc={469C2275-CB2C-4AF7-981E-43CD62EE276E}</author>
    <author>tc={45C36D6E-CD9B-450B-B594-1612A6491724}</author>
    <author>tc={1DF50F32-BB75-4406-8517-33F069F27AE3}</author>
    <author>tc={98B68EEF-1345-4D6A-97FB-CC3448CC4156}</author>
    <author>tc={A2A4C727-1A69-40B7-895D-ABDDC0B20FD3}</author>
    <author>tc={360CAA70-AB88-44E2-9C0C-8BE52C25AFF8}</author>
    <author>tc={2D007222-672C-4305-BC16-CE894702B666}</author>
    <author>tc={40364362-F582-4B85-82DD-A2063CA474DF}</author>
    <author>tc={A5D13F9D-D46D-45C8-9D27-2A0DC855B2C9}</author>
    <author>tc={C89AEDBD-7470-42E8-8556-94E00FCBEC27}</author>
    <author>tc={1D457255-F775-4FB1-B5D1-4EAC03900033}</author>
    <author>tc={204744DE-122F-460C-BC9C-869CF9463F66}</author>
    <author>tc={19B0FC52-4C97-4501-B079-DB13F1255AA6}</author>
    <author>tc={1A2B185C-474E-4EE3-8C76-6EB5BDADF343}</author>
    <author>tc={84647485-0C7C-4EC9-A1AE-D05ADF8F035C}</author>
    <author>tc={27E1081C-01C0-4FEA-BC23-A81A31EC3949}</author>
    <author>tc={F68B5FA1-362A-4E54-A130-515D259B9711}</author>
    <author>tc={2EC79503-17B2-4512-93E8-B465D93D0D0F}</author>
    <author>tc={F2F14B71-C293-4393-A1B7-D416BE0126D0}</author>
    <author>tc={831FC3AC-42FB-4B49-81A0-AE31D581F0B1}</author>
    <author>tc={26CDE2E1-E6B2-4E68-B548-386A7B7DE3FC}</author>
    <author>tc={880F786B-7EAF-4B1B-AAA0-4C9727DCF7D9}</author>
    <author>tc={D52D5ABB-72BE-4E7B-B352-DB7306D1F530}</author>
    <author>tc={A8183F7A-99DE-4456-9758-47D48BD26E8D}</author>
    <author>tc={8FD64248-DCB3-4BDA-833E-B693415E727E}</author>
    <author>tc={AFFC4ED9-F850-49A7-BF3B-0FA9019461FB}</author>
    <author>tc={056420F8-0F73-4671-90DD-C0A9466FC70A}</author>
    <author>tc={500B0444-6357-4A8E-B404-BE0E5759F1BA}</author>
    <author>tc={16206882-9058-462A-9286-F3D146ABBB98}</author>
    <author>tc={BD9E6925-7137-43CB-A15C-5B22E1DBC353}</author>
    <author>tc={0084B767-6D12-4D47-AC9D-3F7DD83562B5}</author>
    <author>tc={0D18337C-0FFA-464F-B30B-E3260AA6B2CB}</author>
    <author>tc={E9CA1FDF-8E5D-40ED-AED0-6F4305073905}</author>
    <author>tc={AAA54E2F-A932-418E-9B92-8982AECBE12F}</author>
    <author>tc={979429CB-32CD-476B-88C3-73579DB49340}</author>
    <author>tc={C9662E87-C039-4892-B7A1-2859C8C40AF8}</author>
    <author>tc={7FF25ACD-A27B-47C6-952D-3980AA430214}</author>
    <author>tc={A581C339-6362-4FCE-82E7-B32D87DF082A}</author>
    <author>tc={A8E7AD45-6AA7-4984-B9CA-3E5965C483DE}</author>
    <author>tc={B4B34F8F-2CDB-45F7-BD8F-02D87C60FD00}</author>
    <author>tc={E766B142-2AB6-4012-A9FF-F6EEA753AF16}</author>
    <author>tc={6DB0AABA-7550-408A-99E6-E5322A88B66C}</author>
    <author>tc={ACFEB4D1-F148-4F9C-8B60-7B1E5C9BFB9C}</author>
    <author>tc={C2541FC7-0F22-483E-8AD9-B3F8EE01E0B7}</author>
    <author>tc={9397DA02-1AC6-4D80-A6C7-766CBAB89214}</author>
    <author>tc={877167BD-7CAC-41EF-BB89-69DB66A58323}</author>
    <author>tc={E23B6A74-E6BD-4001-8F60-187DBC3541E6}</author>
    <author>tc={8581FFEA-FDE5-488C-8EC6-E165493C91B8}</author>
    <author>tc={2DB563DE-5EBF-468E-8F2B-DACE4EF34415}</author>
    <author>tc={F19DDAA2-F68E-4E96-A256-0B286B89A4C1}</author>
    <author>tc={A69AE4A1-8D75-4949-A118-7AD497CC5C91}</author>
    <author>tc={08E9E524-0671-41BA-A32E-9C5A81270E17}</author>
    <author>tc={92C5D694-A3EB-4B91-AA09-6BAC4515540E}</author>
    <author>tc={75219E69-C385-4D12-BA9B-16893FFDDE2B}</author>
    <author>tc={6972D247-600A-40C0-8737-03AB375E7B7B}</author>
    <author>tc={437A1A92-38E7-4342-9366-8B2B575626D5}</author>
    <author>tc={0C0AFF04-7244-41B6-80CC-9DF7B7FEBA2C}</author>
    <author>tc={1DC3EFA3-7094-4225-B29C-DE5C1CF004CF}</author>
    <author>tc={CBC9E5F6-4610-4832-9AF5-2F1B3DE16937}</author>
    <author>tc={DB35E198-40AE-431D-B6E8-AF5113E67E10}</author>
    <author>tc={1C9D4FA8-D5BD-4C90-94C5-909565ACAA56}</author>
    <author>tc={BEB14303-BCE4-4B41-95FD-7496B98A4645}</author>
    <author>tc={7DAF97B0-4092-4A36-8165-AC13B039CEBB}</author>
    <author>tc={63CC0C4E-8748-4E92-B088-5B26C1920853}</author>
    <author>tc={BC5C6EC1-9F5D-46BE-B23B-58F726995896}</author>
    <author>tc={7019CFC9-E6B4-45EE-8823-67B69E3C31B7}</author>
    <author>tc={B16CBB56-9A44-44B8-A9F9-2A1AF47C0AB3}</author>
    <author>tc={BF02811B-B8B9-4F5F-8F82-4625DD156433}</author>
    <author>tc={F2A8F871-1FF8-4FE7-8E7D-E4566BF8D3ED}</author>
    <author>tc={08678D9E-B56F-45CB-816F-F0CE907B80DB}</author>
    <author>tc={B27D5B05-884A-425B-B2D8-DBB496F6FF65}</author>
    <author>tc={B466C1B6-420E-43CD-A903-715CFED0B505}</author>
    <author>tc={A52E4642-6F92-4FDF-B713-D302DD51685D}</author>
    <author>tc={37899348-D9BC-411F-891A-F0A5B1B40C14}</author>
    <author>tc={F8446CDB-710B-4AF1-BF54-4916C2B9DCA7}</author>
    <author>tc={04B44218-2295-4D08-8EAD-214D27630DFB}</author>
    <author>tc={81BA32FF-08AF-46DA-9724-E7573ED245C4}</author>
    <author>tc={68322D8E-74BE-4B99-8122-C50EC680694E}</author>
    <author>tc={68F1E1F8-B1BE-4E30-9F9C-5DF5D229F2C8}</author>
    <author>tc={2A0A09D6-74E4-4B75-9468-8D6CFC5AA9DB}</author>
    <author>tc={753E906D-DA6A-4715-BE87-B48D0658B120}</author>
    <author>tc={ECE222F2-FEA0-4D09-BB87-6353FAE3F855}</author>
    <author>tc={97FFB6EF-A401-4E81-BF9B-16DF9C5CF5DB}</author>
    <author>tc={C80100D7-74F4-46F1-8CD7-F5BE556F0AAD}</author>
    <author>tc={97615FE6-6644-4A44-889E-E5734C339E89}</author>
    <author>tc={596AA57F-A0D1-453C-826B-B210F61BB233}</author>
    <author>tc={07935794-0C72-4175-B385-6F99CFA3C573}</author>
    <author>tc={E9D4C900-9CD9-47DD-8602-4BD62D3FE493}</author>
    <author>tc={31C5E17B-C3EF-4E97-8F5D-E39FA746E084}</author>
    <author>tc={B115F07B-1A0A-4A56-B3EE-14BB59A9FDEA}</author>
    <author>tc={429854C5-7B0C-4B4B-A71B-14B4050D0F0B}</author>
    <author>tc={43666DED-7531-43D4-8AC6-6CF8906CB373}</author>
    <author>tc={2BE178FA-B8AF-46D3-A634-779DD04F17B8}</author>
    <author>tc={F805A726-D6B7-4204-B780-CDE6696E6BB0}</author>
    <author>tc={6548FB9E-BDDE-446B-9DD5-C2081CA60D68}</author>
    <author>tc={30F86032-25DB-44FD-BFC7-43E37815DED8}</author>
    <author>tc={643659E2-4C6F-4DCE-A11A-65C6C5543C61}</author>
    <author>tc={BC3021EB-84B2-4B2C-9E11-9BBE6E9852BA}</author>
    <author>tc={28EE8380-3487-44F8-8201-A801300D3C24}</author>
    <author>tc={F5F8CDD5-AED7-461E-AA64-7940E4653A28}</author>
    <author>tc={0AF583BC-EB75-4ADB-9290-46A033ECE4FF}</author>
    <author>tc={27933688-529F-4963-A2F6-1183B0514040}</author>
    <author>tc={D17E918F-54F0-4A2F-950C-E49C751057EB}</author>
    <author>tc={70AE830D-9037-4E5A-9CBD-A0BF45D5A1A8}</author>
    <author>tc={E7462449-A2B1-43B4-A6C1-F01CFE2E8B45}</author>
    <author>tc={332B5C43-FCA3-4AF6-9803-E77C75835B63}</author>
    <author>tc={7C793561-349D-48EB-99BC-876ABD0CFAAA}</author>
    <author>tc={E10BCF7F-90BE-4B32-839D-92C18BA57CDE}</author>
    <author>tc={33FD4864-4026-44AB-800D-0A7060724B91}</author>
    <author>tc={B7101FB9-380A-40BD-B9B9-C3819D1BC23D}</author>
    <author>tc={72496DA0-D770-48F7-B134-3A2D20F18DF8}</author>
    <author>tc={8F601B0D-AD37-4508-9DD2-ACAE8C2E95DC}</author>
    <author>tc={FA452729-21F2-4D3F-9C9C-AC8D8066EC54}</author>
    <author>tc={79FE8500-6511-4BC3-B801-8D72D0A0619B}</author>
    <author>tc={CB444B42-B704-41CC-B358-3C2998F1B36D}</author>
    <author>tc={CD7BD07C-5F8C-4AD2-93C8-4A7F40C84374}</author>
    <author>tc={5DE5FFF7-4B4A-4F06-8FEE-D2EA893C3F86}</author>
    <author>tc={DD313215-8F23-4B49-BB04-A9F01CFE46D5}</author>
    <author>tc={2C23597A-C1C3-4B8E-8BC7-5F2B10698D17}</author>
    <author>tc={173AD7E3-37D9-4723-808B-4AFB294DB41A}</author>
    <author>tc={8BD9A6CB-D0DD-4195-8AC8-F5279250D84E}</author>
    <author>tc={B3C0DF3B-BBD5-45DD-A8D1-D4AD34BDB990}</author>
    <author>tc={AA68C7F0-E46C-476C-9045-C2D561D11488}</author>
    <author>tc={26189A36-12CF-40B8-833B-EE9BD884D1ED}</author>
    <author>tc={6EA72CE3-6593-4A47-9042-2E4319A3D811}</author>
    <author>tc={0922E0C7-44B8-4FB6-98F8-32EFC834B933}</author>
    <author>tc={BA9EDA50-01A9-4C3C-B886-E8F68DF74FEF}</author>
    <author>tc={8C2034B7-AD78-48EE-9321-8DC291F96A6F}</author>
    <author>tc={C95E86EF-7415-4AB0-8E64-E742A29AF738}</author>
    <author>tc={761A5474-9529-4236-8FCE-08CECFEA3CB2}</author>
    <author>tc={604B89DE-D753-46CA-B15A-EFBB343C1CA8}</author>
    <author>tc={4E83A58E-4D09-43D6-85CD-85E9F612A6BF}</author>
    <author>tc={C5F91382-A51D-48B9-88F4-AA5F43346683}</author>
    <author>tc={50F8D0FE-530F-4418-8D6E-42E6CA49A793}</author>
    <author>tc={0C85D065-B681-4CB4-9BD0-4663A42F9A51}</author>
    <author>tc={05DC0EA7-B36D-45E0-9648-332CDB72B5AB}</author>
    <author>tc={93FB65F1-A8AE-425C-A319-A07985C516A0}</author>
    <author>tc={5C3C4CB6-8457-4DD2-AAC6-3CCDF6053A4F}</author>
    <author>tc={F8457BBB-0BAE-41FA-BA0A-A9848E7C8FE2}</author>
    <author>tc={7C342666-B26B-403C-9977-CBBED95EBDF2}</author>
    <author>tc={705FF9C5-01E1-4547-8F24-431292BB224A}</author>
    <author>tc={5F39CE75-7B02-4C59-8B87-A6FA5F129528}</author>
    <author>tc={E9EA7940-9E67-4AD4-906F-2218E7397FCF}</author>
    <author>tc={BFD397D0-4817-4B00-B656-9A5B7DDA32ED}</author>
    <author>tc={6C548694-67E3-4F4B-9AA6-A57D5BAC8D30}</author>
    <author>tc={2C8AF8BB-BA7A-444C-970D-4D7DF9C9C981}</author>
    <author>tc={FA804282-A67F-457E-A06E-528A15AFD57E}</author>
    <author>tc={B48BDD31-2C43-4771-9906-B5F0B06605A4}</author>
    <author>tc={E0E7265F-6E13-4C37-8E24-DAD5F48A85B3}</author>
    <author>tc={3FEB7CB6-AA8F-4B82-BEE2-24326B9857F2}</author>
    <author>tc={078D766E-7C00-4E05-A9B9-E507CFF463E9}</author>
    <author>tc={3E7EA171-BAEF-4F1D-A449-22FCF0C01A33}</author>
    <author>tc={E8F3AC25-DE07-4181-81D3-533209D14AE2}</author>
    <author>tc={E9E6F090-9304-4077-8A91-00E3C45AF2F8}</author>
    <author>tc={83FCE9E1-8B20-4F39-8AB2-5D9CDC528930}</author>
    <author>tc={F062CCD5-47D6-4522-9E44-9D94A312866B}</author>
    <author>tc={2A8CA73E-062F-479E-9DE7-D8821BD08BF0}</author>
    <author>tc={43934D66-E41E-417C-AB05-6A7052748D79}</author>
    <author>tc={42FA180C-70E4-4473-9F8D-72B8CB7CB8C5}</author>
    <author>tc={6DA23761-49B1-4700-AC58-419B4470BBC7}</author>
    <author>tc={12DF9E45-A378-45FB-938C-8110365ADDEB}</author>
    <author>tc={61FC6129-3ABA-4FD5-B632-C5F82DE3A30C}</author>
    <author>tc={207B801F-31D0-4C9C-A086-4F820F9ADB07}</author>
    <author>tc={FE31989E-86F2-4B00-A3A5-AA5EC650E1AA}</author>
    <author>tc={B7DA0F0B-E204-4444-BDF2-2C70E82FC777}</author>
    <author>tc={F58A42DF-7443-4C6A-9858-29EE53B6B800}</author>
    <author>tc={C6D4D238-7894-4FC5-AC68-EC20F12208A9}</author>
    <author>tc={2B2385BA-05F0-467B-AEBA-61F793465773}</author>
    <author>tc={ABEE2949-8A88-4147-AB12-24042AD914E3}</author>
    <author>tc={B2AABF7B-88DB-4638-9012-EBD94A99FC17}</author>
    <author>tc={3E07184D-52FF-435F-BCB2-5DF5F2174D65}</author>
    <author>tc={9D03BA9B-D146-4CB2-9142-BFE43E0CC808}</author>
    <author>tc={F49DDB79-A966-4B13-A2E9-514AD8DF682D}</author>
    <author>tc={640A6F64-90E1-4530-AA21-817436122B5B}</author>
    <author>tc={FF28101F-2B3B-436A-AB9D-FDB5698B2840}</author>
    <author>tc={23DA45D0-CF7A-48BB-9C0C-CF1D00DB3FA2}</author>
    <author>tc={71588D51-8393-4AA4-B627-428465223A1D}</author>
    <author>tc={8EDC881C-30B7-402A-9934-E55795459E62}</author>
    <author>tc={6E8A1B40-525C-4897-A93A-973BABA78DEF}</author>
    <author>tc={A37EF9FE-58EE-4ADA-BF47-D93EA9A0ADCC}</author>
    <author>tc={77A30FBC-0A3B-4BBA-A6DD-ECF5136311FB}</author>
    <author>tc={8C4E2F3A-CA43-4A10-87B0-5C1B364A8DB4}</author>
    <author>tc={B12636DA-3367-4E46-8000-165A158D426A}</author>
    <author>tc={62525DBA-E842-4502-B0E7-2E7189929999}</author>
    <author>tc={279AE4AD-3F7B-4A94-806E-9DF7C16D6A21}</author>
    <author>tc={E8FE9379-E2FE-45CC-9EA5-6442610B6433}</author>
    <author>tc={F834FC62-3BF0-4620-990F-E2B3CCD68B81}</author>
    <author>tc={3F317A96-995E-4F3C-B256-ED2E96047783}</author>
    <author>tc={94464D30-535B-446D-8906-A69FB659B6DD}</author>
    <author>tc={604015B3-3624-479F-9CE5-301B35A49D2B}</author>
    <author>tc={9FDED2AD-6E19-4714-B389-DEA910F87BD2}</author>
    <author>tc={384B7DEF-4C89-426B-8C29-FE5C8C48F961}</author>
    <author>tc={717EAF44-80B1-48EB-AE36-32E62C95E609}</author>
    <author>tc={65F36519-37F1-4B7C-8395-49F0E6D86C7E}</author>
    <author>tc={55AD3A0E-21EF-49E1-AF5F-F63F3F879281}</author>
    <author>tc={683BD3A6-6578-457F-B03B-6EEFF5CF13AF}</author>
    <author>tc={0C6CBC3A-0569-476D-A95C-151FDB78D92C}</author>
    <author>tc={4DAC637B-F74B-4518-BF22-3180F2DAD4F3}</author>
    <author>tc={90E97536-CB72-4B15-9570-3FBE1112BAA9}</author>
    <author>tc={A28C7A37-D5A6-494E-8CB8-09CE321F86BF}</author>
    <author>tc={93F0393E-2240-4EDB-BF06-140F980B6AE3}</author>
    <author>tc={FC8A089C-2997-4DDB-8106-7818C35B37DB}</author>
    <author>tc={206497A4-76D7-470B-AD2F-57A1A1B93B5B}</author>
    <author>tc={73512851-3F22-4EFC-AE6D-D90EFBD405D9}</author>
    <author>tc={794B8060-3F8A-4B2B-8C51-F2AF0634A0BE}</author>
    <author>tc={DBE253BE-AF64-4BBE-80A7-5845DDA2EE20}</author>
    <author>tc={ABE688B0-9C4E-4756-A264-DC08C69102C9}</author>
    <author>tc={26B0930E-D173-4DAC-BED2-4542622C4B9F}</author>
    <author>tc={8623A888-7CC2-4957-9920-32340E3C7CD5}</author>
    <author>tc={1BA235EC-7A76-4CD0-A572-9B7BE56A27D6}</author>
    <author>tc={06101EA1-7432-4726-8F69-C0065A321006}</author>
    <author>tc={BB3B60CB-C675-4D3D-828C-30AD9DDC536B}</author>
    <author>tc={6EFCDBFC-A684-404F-831C-5A81A424B998}</author>
    <author>tc={71F4F368-F857-4F17-984C-635BFFAFF387}</author>
    <author>tc={591C794C-CBB7-4BA1-9A7D-84B6A99E64DB}</author>
    <author>tc={DA19761D-8780-4954-91DE-B545AC858EB9}</author>
    <author>tc={4BE678D7-7B62-4577-BA39-F789DD56FCB4}</author>
    <author>tc={3297C1C8-FE32-4BD7-B4F1-435BE0AC11A4}</author>
    <author>tc={B4204844-7F7C-48BA-8027-8A0E691609EF}</author>
    <author>tc={327D0410-ACF5-4493-9A42-07A05EF47F4C}</author>
    <author>tc={A9E70471-0252-4B8E-8EEA-8A0B86649338}</author>
    <author>tc={C39E3FEB-91B7-472F-B37D-DABE0041E6DD}</author>
    <author>tc={703B2099-4A73-47E6-B958-778363EEE7BE}</author>
    <author>tc={50129832-456B-49EA-8C84-59095651758B}</author>
    <author>tc={2B182C5B-22FB-4B85-AD86-097330DA34FF}</author>
    <author>tc={A922801C-39AE-433C-957F-D1B93102DCA0}</author>
    <author>tc={1B6F6C68-D29A-4382-8ECD-D66CADBFCD86}</author>
    <author>tc={C6960B14-9A6D-465A-8F43-D9050A6D30B9}</author>
    <author>tc={D1F1137E-468B-40F6-BEE2-C208688AF1C6}</author>
    <author>tc={5E4E8F6F-606C-43D4-9789-3DCE838E8B1B}</author>
    <author>tc={D18CB940-09D4-45F4-9721-F0C2D0776C3A}</author>
    <author>tc={D857CAF7-E19C-443D-970A-7E2D38383CFF}</author>
    <author>tc={31A2A35C-55F3-4B2F-A6A6-F617D7D34CD5}</author>
    <author>tc={09E97978-1016-4877-891D-A6EACF1A147D}</author>
    <author>tc={6CC488B0-877B-4EA1-B24C-732FBB2F7715}</author>
    <author>tc={BD3FCE49-6D9F-4368-8E12-D77345524D9E}</author>
    <author>tc={5C247FD9-A2AE-4138-94AD-AA72A347838B}</author>
    <author>tc={84F1FA65-247A-4FE6-A693-2357F8C0E5FC}</author>
    <author>tc={44E58E5E-434A-45E2-BAA6-ED12AD9627FC}</author>
    <author>tc={14FF0BC7-A3FC-4588-8F7B-D1B983BF5673}</author>
    <author>tc={3349219C-C6EB-4C13-932F-D7156F365284}</author>
    <author>tc={D7980DD2-86C7-4862-B4A5-EC316AB8BF6E}</author>
    <author>tc={FCE9C9E7-A0B6-4E49-AA6C-C5A250ED233A}</author>
    <author>tc={F4050829-ECBE-4DAE-9242-1FCF8FA6F27D}</author>
    <author>tc={AE351F9A-17BE-426D-81B4-F5DBFE12A56E}</author>
    <author>tc={52BA4B67-2E77-4AF9-BC74-BBBFC8763A3B}</author>
    <author>tc={65CBC97A-1C38-4B3B-B6C6-39C6562E9535}</author>
    <author>tc={C50472F7-4D47-4403-B431-4B0855C07AA7}</author>
    <author>tc={1D48B6F2-C512-40FD-9DD7-9CEC16C8C51B}</author>
    <author>tc={AB8A4BFD-B7CF-4829-A77D-A53D2994688D}</author>
    <author>tc={6EB991B9-E067-4DC7-96ED-35D336C7B4AA}</author>
    <author>tc={D343255F-847F-4D6E-8499-F725EEA34BEF}</author>
    <author>tc={86D504D6-2341-4191-972A-A37EC2DA99C2}</author>
    <author>tc={5CF8D17A-0CB0-4B99-8A1D-B6BE3E570FE8}</author>
    <author>tc={9EAC1566-CBF9-4202-BAC5-88C5AE8DD480}</author>
    <author>tc={85F926B5-3CA9-49A8-BFF9-F91561B02CF5}</author>
    <author>tc={E53AFF5A-16D9-4C84-9A51-33B955C0531E}</author>
    <author>tc={B8A6B17E-9E02-471B-A708-92213B33AD82}</author>
    <author>tc={6962D191-5A58-4E39-AB0F-5754B1F7E3BF}</author>
    <author>tc={C37F0342-CF31-4E5E-A91D-708A69520CFF}</author>
    <author>tc={B6E4F74B-ED10-41E8-8DE1-5D82805F2291}</author>
    <author>tc={42DD2DB2-5146-4EE6-B0B0-26E68A56FE1E}</author>
    <author>tc={95A2629F-055A-463B-93E3-C5EAD573E9CB}</author>
    <author>tc={38702FA9-95E1-42CC-9C58-D7AD2C7954D6}</author>
    <author>tc={C3066B8E-8631-49F0-B97C-5E546FB5EB25}</author>
    <author>tc={87A1BC98-4A06-47B8-BDC1-0A8F2AC24E37}</author>
    <author>tc={34D2BEE6-B478-4F60-AF2B-10E6AD850F6F}</author>
    <author>tc={D8A63E64-C5AD-45C4-A3EB-6226EA2176F6}</author>
    <author>tc={EC81A276-427D-4672-9277-0C02D421FF6B}</author>
    <author>tc={26555C26-70FC-4BDE-84E5-A2976D257413}</author>
    <author>tc={9324A699-AD5C-4775-87FD-A6F8F73BBBD0}</author>
    <author>tc={E4334AC3-A9CF-48BC-905D-B9CD46C9E14C}</author>
    <author>tc={7C68B184-A6BE-4BC9-86DC-D6F1DB3BC1BE}</author>
    <author>tc={95699A66-523C-402B-A040-21444F92F5A0}</author>
    <author>tc={426269BC-B439-481E-9B0A-7C9AAC64A677}</author>
    <author>tc={9E67DBA7-42CD-4711-9FE9-1B2B79B6B0EC}</author>
    <author>tc={68E651B4-0E5B-4A80-8AD8-988ED267462B}</author>
    <author>tc={D8F01618-E378-476B-9773-A25B6AC8DE3B}</author>
    <author>tc={6242520F-5886-43BC-A3AC-8451305B27E0}</author>
    <author>tc={DF43F2D8-6C96-475C-B93F-54AF906A335D}</author>
    <author>tc={8B5883FF-1EC1-4B6D-857D-1015E6E5ABE0}</author>
    <author>tc={AEF55E17-00D1-4DBD-AC61-76D68D814A05}</author>
    <author>tc={0F868D68-C18E-43F1-9342-369DD298D03A}</author>
    <author>tc={83DE3443-701B-4359-A417-CDAC6556D5A0}</author>
    <author>tc={89CCD304-5A5D-4E05-A03F-425A201699D5}</author>
    <author>tc={53998905-7620-4B78-8A19-2DDC9CD80B79}</author>
    <author>tc={FB5A5662-B8B6-462D-A857-8C4530C0B236}</author>
    <author>tc={3D88C699-8DB7-4C56-ADC8-E017155A10BE}</author>
    <author>tc={C3E39C0F-BA72-4543-BB27-23F1CA4E6D5F}</author>
    <author>tc={6070B5E8-D321-415D-8506-9DF0DF6501D4}</author>
    <author>tc={65A01417-65CA-43B9-A015-EEAE8D8CEF62}</author>
    <author>tc={AD75846A-2672-4D35-9C13-BE9A7F9AFD3F}</author>
    <author>tc={C3580CD2-350C-4B78-9A71-A2C72BC5121D}</author>
    <author>tc={EFF682F4-7443-4620-8F37-AF4F5DB7E15C}</author>
    <author>tc={4E31A563-477E-4127-80CF-A8CB0E4B6DC1}</author>
    <author>tc={76B9BED2-551F-449C-9E34-CD5AAFC1084B}</author>
    <author>tc={92A53489-7A5E-409D-B241-B982661AEC06}</author>
    <author>tc={0400429E-9722-4427-B969-B47943577E5B}</author>
    <author>tc={4721B627-141F-4CBA-AE87-E8C6245C5484}</author>
    <author>tc={4CAF9C74-A508-45A7-AC23-5F3B708A790D}</author>
    <author>tc={6F725F88-C3DC-4C7B-83E6-2FA8CD17D0D2}</author>
    <author>tc={7A2EE329-9981-4127-AF6A-98EAF162CA3F}</author>
    <author>tc={AAD5434A-9305-486A-B847-9E383B0A9558}</author>
    <author>tc={4F4C28F7-DF5E-48DF-8800-B23688A9BC52}</author>
    <author>tc={A979EA58-05A0-4FD4-8DB7-4DA4A36BDCA2}</author>
    <author>tc={B5CCBBDE-C2B0-4F03-85BB-46F2C2E1B577}</author>
    <author>tc={6878A100-0012-436D-B0FC-26A02624FDE7}</author>
    <author>tc={87D1E195-CAB7-43AC-A9E6-F793840A9045}</author>
    <author>tc={1D0B8B80-96A1-4C77-8DC1-005CF360D60F}</author>
    <author>tc={7D15FF35-6C78-4AE0-8C4E-412132A9048D}</author>
    <author>tc={50CF8117-4937-4023-BB7A-1566B600871F}</author>
    <author>tc={8E338628-572D-4817-9A2A-FB1EFBF9A91E}</author>
    <author>tc={0B75DEFD-6EFF-4BE0-BDD1-EDC910FB311D}</author>
    <author>tc={7E3C3834-90E3-4F70-8DFA-4D2818CEADBF}</author>
    <author>tc={D8D6515D-E62A-45E2-A152-FB85A22B760E}</author>
    <author>tc={85C81414-F00F-44C1-9813-5D57EA6A17D9}</author>
    <author>tc={3D10BC6C-8EB6-4258-A7AA-85BE3B448440}</author>
    <author>tc={EA98DEB3-31EC-49A4-9C04-0C9FE01600B4}</author>
    <author>tc={0DA2E549-7929-48DF-8914-10C7F2865292}</author>
    <author>tc={D8900D72-25D4-4135-ACE8-E5E795FC76EE}</author>
    <author>tc={BF41718C-37D3-438C-867B-700E32205D44}</author>
    <author>tc={B22F235B-A8FD-4F8F-A99A-94B6CF4A57C9}</author>
    <author>tc={A624C72D-1EB0-435E-9FFC-60C82C483CD2}</author>
    <author>tc={7E130F33-B8B5-4641-985E-A6B814F47E02}</author>
    <author>tc={9B216D45-3519-4534-8F68-7073E1686B1B}</author>
    <author>tc={79BF3DD7-17BD-424E-8B85-524608DA7006}</author>
    <author>tc={19CF3F93-55A8-4BAF-9003-B021E507A2E7}</author>
    <author>tc={6302D8D7-A32A-4DCF-BD5C-C7F27C48BB96}</author>
  </authors>
  <commentList>
    <comment ref="S2" authorId="0" shapeId="0" xr:uid="{3811A881-8CF3-4CEE-AD1F-C478655CCAF6}">
      <text>
        <t>[Threaded comment]
Your version of Excel allows you to read this threaded comment; however, any edits to it will get removed if the file is opened in a newer version of Excel. Learn more: https://go.microsoft.com/fwlink/?linkid=870924
Comment:
    .44</t>
      </text>
    </comment>
    <comment ref="W2" authorId="1" shapeId="0" xr:uid="{760D0934-BF9D-4C69-AF37-1550B8C132F6}">
      <text>
        <t>[Threaded comment]
Your version of Excel allows you to read this threaded comment; however, any edits to it will get removed if the file is opened in a newer version of Excel. Learn more: https://go.microsoft.com/fwlink/?linkid=870924
Comment:
    .44</t>
      </text>
    </comment>
    <comment ref="Y2" authorId="2" shapeId="0" xr:uid="{09ABC5ED-676B-421E-8C70-24D2B651E89A}">
      <text>
        <t>[Threaded comment]
Your version of Excel allows you to read this threaded comment; however, any edits to it will get removed if the file is opened in a newer version of Excel. Learn more: https://go.microsoft.com/fwlink/?linkid=870924
Comment:
    .178</t>
      </text>
    </comment>
    <comment ref="Z2" authorId="3" shapeId="0" xr:uid="{3FC0B788-4BA4-41E5-9503-44B804CF0B82}">
      <text>
        <t>[Threaded comment]
Your version of Excel allows you to read this threaded comment; however, any edits to it will get removed if the file is opened in a newer version of Excel. Learn more: https://go.microsoft.com/fwlink/?linkid=870924
Comment:
    .178
.235</t>
      </text>
    </comment>
    <comment ref="AA2" authorId="4" shapeId="0" xr:uid="{F5A0BE9F-4E30-4E8E-A595-3BDD3582257D}">
      <text>
        <t>[Threaded comment]
Your version of Excel allows you to read this threaded comment; however, any edits to it will get removed if the file is opened in a newer version of Excel. Learn more: https://go.microsoft.com/fwlink/?linkid=870924
Comment:
    .192</t>
      </text>
    </comment>
    <comment ref="AB2" authorId="5" shapeId="0" xr:uid="{54BDBA3F-0F0E-4E2C-AF7F-51E919A64ED0}">
      <text>
        <t>[Threaded comment]
Your version of Excel allows you to read this threaded comment; however, any edits to it will get removed if the file is opened in a newer version of Excel. Learn more: https://go.microsoft.com/fwlink/?linkid=870924
Comment:
    .202
.204
.209-.211
.236</t>
      </text>
    </comment>
    <comment ref="AF2" authorId="6" shapeId="0" xr:uid="{5C6604AF-E5AE-43FE-9331-6C0D6681ACC3}">
      <text>
        <t>[Threaded comment]
Your version of Excel allows you to read this threaded comment; however, any edits to it will get removed if the file is opened in a newer version of Excel. Learn more: https://go.microsoft.com/fwlink/?linkid=870924
Comment:
    .44
Der Konzern, dem die Beklagten angehören, ist Lizenznehmer verschiedener Lizenzpools der Klägerin, welche sich auf andere Technologien beziehen 
Reply:
    Used to be Yes?</t>
      </text>
    </comment>
    <comment ref="AG2" authorId="7" shapeId="0" xr:uid="{C6B75D7A-40EF-4581-970A-2428EA435849}">
      <text>
        <t>[Threaded comment]
Your version of Excel allows you to read this threaded comment; however, any edits to it will get removed if the file is opened in a newer version of Excel. Learn more: https://go.microsoft.com/fwlink/?linkid=870924
Comment:
    .52
.196
v (no)
.45</t>
      </text>
    </comment>
    <comment ref="S3" authorId="8" shapeId="0" xr:uid="{892B7398-9B6C-4A75-9187-8D2A19EC883E}">
      <text>
        <t>[Threaded comment]
Your version of Excel allows you to read this threaded comment; however, any edits to it will get removed if the file is opened in a newer version of Excel. Learn more: https://go.microsoft.com/fwlink/?linkid=870924
Comment:
    .20</t>
      </text>
    </comment>
    <comment ref="U3" authorId="9" shapeId="0" xr:uid="{F7ECCF8D-F121-43B0-AFFC-4E1B8740309B}">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W3" authorId="10" shapeId="0" xr:uid="{3B01E2B0-4600-42D9-8A42-09387AE94935}">
      <text>
        <t>[Threaded comment]
Your version of Excel allows you to read this threaded comment; however, any edits to it will get removed if the file is opened in a newer version of Excel. Learn more: https://go.microsoft.com/fwlink/?linkid=870924
Comment:
    .20</t>
      </text>
    </comment>
    <comment ref="Y3" authorId="11" shapeId="0" xr:uid="{05C730CB-E528-4FBE-910E-7CEAC7287E64}">
      <text>
        <t>[Threaded comment]
Your version of Excel allows you to read this threaded comment; however, any edits to it will get removed if the file is opened in a newer version of Excel. Learn more: https://go.microsoft.com/fwlink/?linkid=870924
Comment:
    .206</t>
      </text>
    </comment>
    <comment ref="Z3" authorId="12" shapeId="0" xr:uid="{D4B076FD-B996-455E-949F-5B061DCFF774}">
      <text>
        <t>[Threaded comment]
Your version of Excel allows you to read this threaded comment; however, any edits to it will get removed if the file is opened in a newer version of Excel. Learn more: https://go.microsoft.com/fwlink/?linkid=870924
Comment:
    .206
.208
.214
.232
.245</t>
      </text>
    </comment>
    <comment ref="AA3" authorId="13" shapeId="0" xr:uid="{EB0E70F6-30E2-43B2-943A-1B1E29B77F85}">
      <text>
        <t>[Threaded comment]
Your version of Excel allows you to read this threaded comment; however, any edits to it will get removed if the file is opened in a newer version of Excel. Learn more: https://go.microsoft.com/fwlink/?linkid=870924
Comment:
    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
      </text>
    </comment>
    <comment ref="AB3" authorId="14" shapeId="0" xr:uid="{C76B113D-2116-4F6D-B482-2F9484C43605}">
      <text>
        <t>[Threaded comment]
Your version of Excel allows you to read this threaded comment; however, any edits to it will get removed if the file is opened in a newer version of Excel. Learn more: https://go.microsoft.com/fwlink/?linkid=870924
Comment:
    .249
.318</t>
      </text>
    </comment>
    <comment ref="AC3" authorId="15" shapeId="0" xr:uid="{69EE2237-2F26-4DB5-B64E-FBACC48C9B2A}">
      <text>
        <t>[Threaded comment]
Your version of Excel allows you to read this threaded comment; however, any edits to it will get removed if the file is opened in a newer version of Excel. Learn more: https://go.microsoft.com/fwlink/?linkid=870924
Comment:
    .262
.349</t>
      </text>
    </comment>
    <comment ref="AD3" authorId="16" shapeId="0" xr:uid="{BCB95FAD-D1B2-4DB6-ABAB-12A6049381EF}">
      <text>
        <t>[Threaded comment]
Your version of Excel allows you to read this threaded comment; however, any edits to it will get removed if the file is opened in a newer version of Excel. Learn more: https://go.microsoft.com/fwlink/?linkid=870924
Comment:
    .222
.264</t>
      </text>
    </comment>
    <comment ref="AE3" authorId="17" shapeId="0" xr:uid="{D80FC576-C009-4925-9C49-782EEB13233F}">
      <text>
        <t>[Threaded comment]
Your version of Excel allows you to read this threaded comment; however, any edits to it will get removed if the file is opened in a newer version of Excel. Learn more: https://go.microsoft.com/fwlink/?linkid=870924
Comment:
    .272</t>
      </text>
    </comment>
    <comment ref="AF3" authorId="18" shapeId="0" xr:uid="{F26FABA7-BF63-4365-B691-F2D482124B24}">
      <text>
        <t>[Threaded comment]
Your version of Excel allows you to read this threaded comment; however, any edits to it will get removed if the file is opened in a newer version of Excel. Learn more: https://go.microsoft.com/fwlink/?linkid=870924
Comment:
    .24
.69
.293
Reply:
    Used to be Yes?</t>
      </text>
    </comment>
    <comment ref="AG3" authorId="19" shapeId="0" xr:uid="{25FEC53B-1F02-480D-8A02-F205E5231F1C}">
      <text>
        <t>[Threaded comment]
Your version of Excel allows you to read this threaded comment; however, any edits to it will get removed if the file is opened in a newer version of Excel. Learn more: https://go.microsoft.com/fwlink/?linkid=870924
Comment:
    .19
.40</t>
      </text>
    </comment>
    <comment ref="AS3" authorId="20" shapeId="0" xr:uid="{F0540B8A-E4E2-4783-AB3B-FDC1AC4E12C0}">
      <text>
        <t>[Threaded comment]
Your version of Excel allows you to read this threaded comment; however, any edits to it will get removed if the file is opened in a newer version of Excel. Learn more: https://go.microsoft.com/fwlink/?linkid=870924
Comment:
    Darts</t>
      </text>
    </comment>
    <comment ref="S4" authorId="21" shapeId="0" xr:uid="{C7A34E9B-42D6-4223-A2EC-B83E648A12E1}">
      <text>
        <t>[Threaded comment]
Your version of Excel allows you to read this threaded comment; however, any edits to it will get removed if the file is opened in a newer version of Excel. Learn more: https://go.microsoft.com/fwlink/?linkid=870924
Comment:
    .21</t>
      </text>
    </comment>
    <comment ref="W4" authorId="22" shapeId="0" xr:uid="{0FDF7B4E-F80B-4D5D-9508-BCA76E1AF56D}">
      <text>
        <t>[Threaded comment]
Your version of Excel allows you to read this threaded comment; however, any edits to it will get removed if the file is opened in a newer version of Excel. Learn more: https://go.microsoft.com/fwlink/?linkid=870924
Comment:
    .21</t>
      </text>
    </comment>
    <comment ref="Y4" authorId="23" shapeId="0" xr:uid="{ACEA1250-EEE4-45B6-A7F1-E3EEA885D7B5}">
      <text>
        <t>[Threaded comment]
Your version of Excel allows you to read this threaded comment; however, any edits to it will get removed if the file is opened in a newer version of Excel. Learn more: https://go.microsoft.com/fwlink/?linkid=870924
Comment:
    .212</t>
      </text>
    </comment>
    <comment ref="Z4" authorId="24" shapeId="0" xr:uid="{DF4F750F-4B2B-4D46-A026-467AA325150E}">
      <text>
        <t>[Threaded comment]
Your version of Excel allows you to read this threaded comment; however, any edits to it will get removed if the file is opened in a newer version of Excel. Learn more: https://go.microsoft.com/fwlink/?linkid=870924
Comment:
    .214
.411</t>
      </text>
    </comment>
    <comment ref="AA4" authorId="25" shapeId="0" xr:uid="{F2865A39-B2F2-4BA3-8B7F-E47904718F88}">
      <text>
        <t>[Threaded comment]
Your version of Excel allows you to read this threaded comment; however, any edits to it will get removed if the file is opened in a newer version of Excel. Learn more: https://go.microsoft.com/fwlink/?linkid=870924
Comment:
    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
      </text>
    </comment>
    <comment ref="AB4" authorId="26" shapeId="0" xr:uid="{3B039CF9-F112-4241-9EB5-92FBBCE7E65D}">
      <text>
        <t>[Threaded comment]
Your version of Excel allows you to read this threaded comment; however, any edits to it will get removed if the file is opened in a newer version of Excel. Learn more: https://go.microsoft.com/fwlink/?linkid=870924
Comment:
    .255
.322
.324</t>
      </text>
    </comment>
    <comment ref="AC4" authorId="27" shapeId="0" xr:uid="{E444A568-6EE7-4F2F-B9C7-4B5CEB3C440C}">
      <text>
        <t>[Threaded comment]
Your version of Excel allows you to read this threaded comment; however, any edits to it will get removed if the file is opened in a newer version of Excel. Learn more: https://go.microsoft.com/fwlink/?linkid=870924
Comment:
    .268
.355</t>
      </text>
    </comment>
    <comment ref="AD4" authorId="28" shapeId="0" xr:uid="{EF6135B1-3B0B-4CE4-AE02-BA4C789FE242}">
      <text>
        <t>[Threaded comment]
Your version of Excel allows you to read this threaded comment; however, any edits to it will get removed if the file is opened in a newer version of Excel. Learn more: https://go.microsoft.com/fwlink/?linkid=870924
Comment:
    .228
.270</t>
      </text>
    </comment>
    <comment ref="AE4" authorId="29" shapeId="0" xr:uid="{4975D8EC-BB7B-4105-BCA0-009A957DF48B}">
      <text>
        <t>[Threaded comment]
Your version of Excel allows you to read this threaded comment; however, any edits to it will get removed if the file is opened in a newer version of Excel. Learn more: https://go.microsoft.com/fwlink/?linkid=870924
Comment:
    .278</t>
      </text>
    </comment>
    <comment ref="AF4" authorId="30" shapeId="0" xr:uid="{8DB86B3D-DD11-4949-910D-9E0128DC65BB}">
      <text>
        <t>[Threaded comment]
Your version of Excel allows you to read this threaded comment; however, any edits to it will get removed if the file is opened in a newer version of Excel. Learn more: https://go.microsoft.com/fwlink/?linkid=870924
Comment:
    .25
.284
.299-.306
.322
.411
Reply:
    Used to be Yes?</t>
      </text>
    </comment>
    <comment ref="AG4" authorId="31" shapeId="0" xr:uid="{CCD9029B-A84F-4461-9CC9-C4357A3F04C4}">
      <text>
        <t>[Threaded comment]
Your version of Excel allows you to read this threaded comment; however, any edits to it will get removed if the file is opened in a newer version of Excel. Learn more: https://go.microsoft.com/fwlink/?linkid=870924
Comment:
    .20
.41
.308-.310
.311-314</t>
      </text>
    </comment>
    <comment ref="AP4" authorId="32" shapeId="0" xr:uid="{94390C78-891B-4C95-81E6-C4BC83535A9C}">
      <text>
        <t xml:space="preserve">[Threaded comment]
Your version of Excel allows you to read this threaded comment; however, any edits to it will get removed if the file is opened in a newer version of Excel. Learn more: https://go.microsoft.com/fwlink/?linkid=870924
Comment:
    INEFFECTIVE!
Die Entscheidung ist wirkungslos. Die Klage wurde am 28.12.2018 zurückgenommen. </t>
      </text>
    </comment>
    <comment ref="S5" authorId="33" shapeId="0" xr:uid="{9B5DAED8-A47B-4E28-8D97-A5560CDC1A9E}">
      <text>
        <t>[Threaded comment]
Your version of Excel allows you to read this threaded comment; however, any edits to it will get removed if the file is opened in a newer version of Excel. Learn more: https://go.microsoft.com/fwlink/?linkid=870924
Comment:
    .24</t>
      </text>
    </comment>
    <comment ref="W5" authorId="34" shapeId="0" xr:uid="{296F93B9-99F2-4F61-BECE-7A0D761E461C}">
      <text>
        <t>[Threaded comment]
Your version of Excel allows you to read this threaded comment; however, any edits to it will get removed if the file is opened in a newer version of Excel. Learn more: https://go.microsoft.com/fwlink/?linkid=870924
Comment:
    .24</t>
      </text>
    </comment>
    <comment ref="Y5" authorId="35" shapeId="0" xr:uid="{470EA1B4-933D-4D82-ABF2-A135E493EB3D}">
      <text>
        <t>[Threaded comment]
Your version of Excel allows you to read this threaded comment; however, any edits to it will get removed if the file is opened in a newer version of Excel. Learn more: https://go.microsoft.com/fwlink/?linkid=870924
Comment:
    .341</t>
      </text>
    </comment>
    <comment ref="Z5" authorId="36" shapeId="0" xr:uid="{09131516-692C-4B01-8F50-614CC71997B1}">
      <text>
        <t>[Threaded comment]
Your version of Excel allows you to read this threaded comment; however, any edits to it will get removed if the file is opened in a newer version of Excel. Learn more: https://go.microsoft.com/fwlink/?linkid=870924
Comment:
    .412
.525-.526
v (no)
.351
Reply:
    Used to be Yes?</t>
      </text>
    </comment>
    <comment ref="AA5" authorId="37" shapeId="0" xr:uid="{7BEC2076-7775-45DA-8B7A-EDAF8A2A8F1D}">
      <text>
        <t>[Threaded comment]
Your version of Excel allows you to read this threaded comment; however, any edits to it will get removed if the file is opened in a newer version of Excel. Learn more: https://go.microsoft.com/fwlink/?linkid=870924
Comment:
    .24
.355</t>
      </text>
    </comment>
    <comment ref="AB5" authorId="38" shapeId="0" xr:uid="{E040E2EA-F314-47C3-A4D7-7285C84B659B}">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C5" authorId="39" shapeId="0" xr:uid="{FCA31237-0129-460F-95BE-17CD3E4FAE43}">
      <text>
        <t>[Threaded comment]
Your version of Excel allows you to read this threaded comment; however, any edits to it will get removed if the file is opened in a newer version of Excel. Learn more: https://go.microsoft.com/fwlink/?linkid=870924
Comment:
    .379
.380
.507</t>
      </text>
    </comment>
    <comment ref="AD5" authorId="40" shapeId="0" xr:uid="{3B6F62CD-8C36-4DB7-B988-00F5708CFFF8}">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E5" authorId="41" shapeId="0" xr:uid="{812F0DB0-E05C-4307-820F-B4B476F4D206}">
      <text>
        <t>[Threaded comment]
Your version of Excel allows you to read this threaded comment; however, any edits to it will get removed if the file is opened in a newer version of Excel. Learn more: https://go.microsoft.com/fwlink/?linkid=870924
Comment:
    .380
Reply:
    I believe that even though the calculation was not clear, with more time, this could have been covered/explained, allowing the defendant to make a counter offer.
So chiefly, the main detractor here was timing, hence a formality issue with the FRAND offer.</t>
      </text>
    </comment>
    <comment ref="AG5" authorId="42" shapeId="0" xr:uid="{5B875332-954D-443C-A26F-D7BB2CA73FC4}">
      <text>
        <t>[Threaded comment]
Your version of Excel allows you to read this threaded comment; however, any edits to it will get removed if the file is opened in a newer version of Excel. Learn more: https://go.microsoft.com/fwlink/?linkid=870924
Comment:
    .27
.39
.43</t>
      </text>
    </comment>
    <comment ref="S6" authorId="43" shapeId="0" xr:uid="{3291FD65-FB42-4CFE-83D1-F9B0F8B0E11F}">
      <text>
        <t>[Threaded comment]
Your version of Excel allows you to read this threaded comment; however, any edits to it will get removed if the file is opened in a newer version of Excel. Learn more: https://go.microsoft.com/fwlink/?linkid=870924
Comment:
    .24</t>
      </text>
    </comment>
    <comment ref="W6" authorId="44" shapeId="0" xr:uid="{03408F56-DCA7-474D-9890-A81344099983}">
      <text>
        <t>[Threaded comment]
Your version of Excel allows you to read this threaded comment; however, any edits to it will get removed if the file is opened in a newer version of Excel. Learn more: https://go.microsoft.com/fwlink/?linkid=870924
Comment:
    .24</t>
      </text>
    </comment>
    <comment ref="Y6" authorId="45" shapeId="0" xr:uid="{14EECA60-1568-4BEE-9B81-52C91F651007}">
      <text>
        <t>[Threaded comment]
Your version of Excel allows you to read this threaded comment; however, any edits to it will get removed if the file is opened in a newer version of Excel. Learn more: https://go.microsoft.com/fwlink/?linkid=870924
Comment:
    .341
.347</t>
      </text>
    </comment>
    <comment ref="Z6" authorId="46" shapeId="0" xr:uid="{030E568B-0477-4849-99AD-701B3409CA6B}">
      <text>
        <t>[Threaded comment]
Your version of Excel allows you to read this threaded comment; however, any edits to it will get removed if the file is opened in a newer version of Excel. Learn more: https://go.microsoft.com/fwlink/?linkid=870924
Comment:
    .412
.525-.526
v (no)
.351
Reply:
    Used to be Yes?</t>
      </text>
    </comment>
    <comment ref="AA6" authorId="47" shapeId="0" xr:uid="{4DFA10F8-FFAF-40E8-AEAD-6A4A435A3AC0}">
      <text>
        <t>[Threaded comment]
Your version of Excel allows you to read this threaded comment; however, any edits to it will get removed if the file is opened in a newer version of Excel. Learn more: https://go.microsoft.com/fwlink/?linkid=870924
Comment:
    .24
.355</t>
      </text>
    </comment>
    <comment ref="AB6" authorId="48" shapeId="0" xr:uid="{40293D9B-C217-45CB-A759-3741CA78C250}">
      <text>
        <t>[Threaded comment]
Your version of Excel allows you to read this threaded comment; however, any edits to it will get removed if the file is opened in a newer version of Excel. Learn more: https://go.microsoft.com/fwlink/?linkid=870924
Comment:
    .363
.368
.388
(not sure of stating facts to explain the procedure or because they do match the case in question)</t>
      </text>
    </comment>
    <comment ref="AC6" authorId="49" shapeId="0" xr:uid="{AE1B4C6D-7DA6-43D8-85AD-CDAF7C9C46E8}">
      <text>
        <t>[Threaded comment]
Your version of Excel allows you to read this threaded comment; however, any edits to it will get removed if the file is opened in a newer version of Excel. Learn more: https://go.microsoft.com/fwlink/?linkid=870924
Comment:
    .379
.380
.507</t>
      </text>
    </comment>
    <comment ref="AD6" authorId="50" shapeId="0" xr:uid="{F8B9546E-0ABB-4188-A044-8D933801575D}">
      <text>
        <t>[Threaded comment]
Your version of Excel allows you to read this threaded comment; however, any edits to it will get removed if the file is opened in a newer version of Excel. Learn more: https://go.microsoft.com/fwlink/?linkid=870924
Comment:
    .380
.507
Too close to the hearing (not first offer, 2017 one)</t>
      </text>
    </comment>
    <comment ref="AE6" authorId="51" shapeId="0" xr:uid="{B9E1F801-C038-4F28-B919-33BB386C70D8}">
      <text>
        <t>[Threaded comment]
Your version of Excel allows you to read this threaded comment; however, any edits to it will get removed if the file is opened in a newer version of Excel. Learn more: https://go.microsoft.com/fwlink/?linkid=870924
Comment:
    .380
Reply:
    I believe that even though the calculation was not clear, with more time, this could have been covered/explained, allowing the defendant to make a counter offer.
So chiefly, the main detractor here was timing, hence a formality issue with the FRAND offer.</t>
      </text>
    </comment>
    <comment ref="AG6" authorId="52" shapeId="0" xr:uid="{187BDEB0-606B-4E63-A04E-527C71C15A71}">
      <text>
        <t>[Threaded comment]
Your version of Excel allows you to read this threaded comment; however, any edits to it will get removed if the file is opened in a newer version of Excel. Learn more: https://go.microsoft.com/fwlink/?linkid=870924
Comment:
    .27
.39
.43</t>
      </text>
    </comment>
    <comment ref="S7" authorId="53" shapeId="0" xr:uid="{6A44D9E4-EAD3-45EC-A41C-30B267D5ECCA}">
      <text>
        <t>[Threaded comment]
Your version of Excel allows you to read this threaded comment; however, any edits to it will get removed if the file is opened in a newer version of Excel. Learn more: https://go.microsoft.com/fwlink/?linkid=870924
Comment:
    .27</t>
      </text>
    </comment>
    <comment ref="W7" authorId="54" shapeId="0" xr:uid="{DB252D02-6A56-4621-8D64-06B565A4D57E}">
      <text>
        <t>[Threaded comment]
Your version of Excel allows you to read this threaded comment; however, any edits to it will get removed if the file is opened in a newer version of Excel. Learn more: https://go.microsoft.com/fwlink/?linkid=870924
Comment:
    .27</t>
      </text>
    </comment>
    <comment ref="Y7" authorId="55" shapeId="0" xr:uid="{960A4AFE-1AB4-4DC6-8ADE-2516530F9C9B}">
      <text>
        <t>[Threaded comment]
Your version of Excel allows you to read this threaded comment; however, any edits to it will get removed if the file is opened in a newer version of Excel. Learn more: https://go.microsoft.com/fwlink/?linkid=870924
Comment:
    .134</t>
      </text>
    </comment>
    <comment ref="Z7" authorId="56" shapeId="0" xr:uid="{F733FB17-9710-4888-BEE8-AD542F8DF91A}">
      <text>
        <t>[Threaded comment]
Your version of Excel allows you to read this threaded comment; however, any edits to it will get removed if the file is opened in a newer version of Excel. Learn more: https://go.microsoft.com/fwlink/?linkid=870924
Comment:
    180</t>
      </text>
    </comment>
    <comment ref="AA7" authorId="57" shapeId="0" xr:uid="{49EBB7D2-AB62-4CEE-9C03-D8A3171CEA2C}">
      <text>
        <t>[Threaded comment]
Your version of Excel allows you to read this threaded comment; however, any edits to it will get removed if the file is opened in a newer version of Excel. Learn more: https://go.microsoft.com/fwlink/?linkid=870924
Comment:
    .187
.60
But late, after filling the lawsuit (for damages, January 2016)</t>
      </text>
    </comment>
    <comment ref="AB7" authorId="58" shapeId="0" xr:uid="{243AB504-4E91-48DF-B7F5-661F93FF4C01}">
      <text>
        <t>[Threaded comment]
Your version of Excel allows you to read this threaded comment; however, any edits to it will get removed if the file is opened in a newer version of Excel. Learn more: https://go.microsoft.com/fwlink/?linkid=870924
Comment:
    .197
.202</t>
      </text>
    </comment>
    <comment ref="AC7" authorId="59" shapeId="0" xr:uid="{DEEF59A0-8B3B-4ABD-8775-D25C530FA377}">
      <text>
        <t>[Threaded comment]
Your version of Excel allows you to read this threaded comment; however, any edits to it will get removed if the file is opened in a newer version of Excel. Learn more: https://go.microsoft.com/fwlink/?linkid=870924
Comment:
    .212
.234
.261</t>
      </text>
    </comment>
    <comment ref="AD7" authorId="60" shapeId="0" xr:uid="{DEC2603D-A0DE-42D2-BC5A-2A8CBB7EE2D7}">
      <text>
        <t>[Threaded comment]
Your version of Excel allows you to read this threaded comment; however, any edits to it will get removed if the file is opened in a newer version of Excel. Learn more: https://go.microsoft.com/fwlink/?linkid=870924
Comment:
    .60
No mention of the infringement before the lawsuit
Reply:
    .227-.229
Reply:
    Yes if we take the 1° and 2° offers, the 3° is not clear in terms of timing.</t>
      </text>
    </comment>
    <comment ref="AE7" authorId="61" shapeId="0" xr:uid="{148B6DA7-75BB-40CA-86FE-2647624F9A24}">
      <text>
        <t>[Threaded comment]
Your version of Excel allows you to read this threaded comment; however, any edits to it will get removed if the file is opened in a newer version of Excel. Learn more: https://go.microsoft.com/fwlink/?linkid=870924
Comment:
    .60
Problem with the one-off payment and the lack of per unite license.
Reply:
    .234
.261
.275
.277</t>
      </text>
    </comment>
    <comment ref="S8" authorId="62" shapeId="0" xr:uid="{44956432-A9AB-471E-8893-FC70F81C9DA2}">
      <text>
        <t>[Threaded comment]
Your version of Excel allows you to read this threaded comment; however, any edits to it will get removed if the file is opened in a newer version of Excel. Learn more: https://go.microsoft.com/fwlink/?linkid=870924
Comment:
    .17</t>
      </text>
    </comment>
    <comment ref="W8" authorId="63" shapeId="0" xr:uid="{69ECBD18-BD0E-4058-B923-B815FDE951A3}">
      <text>
        <t>[Threaded comment]
Your version of Excel allows you to read this threaded comment; however, any edits to it will get removed if the file is opened in a newer version of Excel. Learn more: https://go.microsoft.com/fwlink/?linkid=870924
Comment:
    .17</t>
      </text>
    </comment>
    <comment ref="Y8" authorId="64" shapeId="0" xr:uid="{4D7FB27D-FF9E-4A0B-BCA5-F7858A4A4891}">
      <text>
        <t>[Threaded comment]
Your version of Excel allows you to read this threaded comment; however, any edits to it will get removed if the file is opened in a newer version of Excel. Learn more: https://go.microsoft.com/fwlink/?linkid=870924
Comment:
    .126</t>
      </text>
    </comment>
    <comment ref="Z8" authorId="65" shapeId="0" xr:uid="{AC747E91-32BF-438A-B0A5-52F5DC0EEB0A}">
      <text>
        <t>[Threaded comment]
Your version of Excel allows you to read this threaded comment; however, any edits to it will get removed if the file is opened in a newer version of Excel. Learn more: https://go.microsoft.com/fwlink/?linkid=870924
Comment:
    .172</t>
      </text>
    </comment>
    <comment ref="AA8" authorId="66" shapeId="0" xr:uid="{260428E4-E23D-40B2-8FF1-C5136A23A65F}">
      <text>
        <t>[Threaded comment]
Your version of Excel allows you to read this threaded comment; however, any edits to it will get removed if the file is opened in a newer version of Excel. Learn more: https://go.microsoft.com/fwlink/?linkid=870924
Comment:
    .179
.17
But late, after filling the lawsuit (for damages, January 2016)</t>
      </text>
    </comment>
    <comment ref="AB8" authorId="67" shapeId="0" xr:uid="{75D65F61-A5B2-430D-839E-BC16D2E1E28A}">
      <text>
        <t>[Threaded comment]
Your version of Excel allows you to read this threaded comment; however, any edits to it will get removed if the file is opened in a newer version of Excel. Learn more: https://go.microsoft.com/fwlink/?linkid=870924
Comment:
    .189</t>
      </text>
    </comment>
    <comment ref="AC8" authorId="68" shapeId="0" xr:uid="{A1EB9518-D83A-47E4-8D9E-4633D922A90B}">
      <text>
        <t>[Threaded comment]
Your version of Excel allows you to read this threaded comment; however, any edits to it will get removed if the file is opened in a newer version of Excel. Learn more: https://go.microsoft.com/fwlink/?linkid=870924
Comment:
    .203
.220
.225
.252
.266</t>
      </text>
    </comment>
    <comment ref="AD8" authorId="69" shapeId="0" xr:uid="{56D2B1A3-D2D5-45C1-A0F9-8F8612C3B8CD}">
      <text>
        <t>[Threaded comment]
Your version of Excel allows you to read this threaded comment; however, any edits to it will get removed if the file is opened in a newer version of Excel. Learn more: https://go.microsoft.com/fwlink/?linkid=870924
Comment:
    .218-.220
Reply:
    Yes if we take the 1° and 2° offers, the 3° is not clear in terms of timing.</t>
      </text>
    </comment>
    <comment ref="AE8" authorId="70" shapeId="0" xr:uid="{8972FBC0-F1E4-47A4-B343-0DE72570A0FD}">
      <text>
        <t>[Threaded comment]
Your version of Excel allows you to read this threaded comment; however, any edits to it will get removed if the file is opened in a newer version of Excel. Learn more: https://go.microsoft.com/fwlink/?linkid=870924
Comment:
    .225
.254
.268
.281</t>
      </text>
    </comment>
    <comment ref="S9" authorId="71" shapeId="0" xr:uid="{73E1787A-B21D-47A1-A113-9153568C4472}">
      <text>
        <t>[Threaded comment]
Your version of Excel allows you to read this threaded comment; however, any edits to it will get removed if the file is opened in a newer version of Excel. Learn more: https://go.microsoft.com/fwlink/?linkid=870924
Comment:
    .61-.66</t>
      </text>
    </comment>
    <comment ref="W9" authorId="72" shapeId="0" xr:uid="{2874E882-837E-4B1B-B2A0-BFAC526D7DFD}">
      <text>
        <t>[Threaded comment]
Your version of Excel allows you to read this threaded comment; however, any edits to it will get removed if the file is opened in a newer version of Excel. Learn more: https://go.microsoft.com/fwlink/?linkid=870924
Comment:
    .61-.66</t>
      </text>
    </comment>
    <comment ref="Y9" authorId="73" shapeId="0" xr:uid="{E28910C6-A962-496F-97C2-E7F89365FB12}">
      <text>
        <t>[Threaded comment]
Your version of Excel allows you to read this threaded comment; however, any edits to it will get removed if the file is opened in a newer version of Excel. Learn more: https://go.microsoft.com/fwlink/?linkid=870924
Comment:
    .283</t>
      </text>
    </comment>
    <comment ref="Z9" authorId="74" shapeId="0" xr:uid="{E7FE2167-966E-4AEE-B2C4-B48109B61499}">
      <text>
        <t>[Threaded comment]
Your version of Excel allows you to read this threaded comment; however, any edits to it will get removed if the file is opened in a newer version of Excel. Learn more: https://go.microsoft.com/fwlink/?linkid=870924
Comment:
    .296</t>
      </text>
    </comment>
    <comment ref="AA9" authorId="75" shapeId="0" xr:uid="{C20BA7D8-E49F-4E1B-9CFA-C1130061E9EC}">
      <text>
        <t>[Threaded comment]
Your version of Excel allows you to read this threaded comment; however, any edits to it will get removed if the file is opened in a newer version of Excel. Learn more: https://go.microsoft.com/fwlink/?linkid=870924
Comment:
    .314
.316
.328</t>
      </text>
    </comment>
    <comment ref="AB9" authorId="76" shapeId="0" xr:uid="{105A1EF1-EEF6-4094-AC34-32D28EBB6ECA}">
      <text>
        <t>[Threaded comment]
Your version of Excel allows you to read this threaded comment; however, any edits to it will get removed if the file is opened in a newer version of Excel. Learn more: https://go.microsoft.com/fwlink/?linkid=870924
Comment:
    .346</t>
      </text>
    </comment>
    <comment ref="AC9" authorId="77" shapeId="0" xr:uid="{B0EB4E27-D21A-41BB-901D-D12FC1C8ABE4}">
      <text>
        <t>[Threaded comment]
Your version of Excel allows you to read this threaded comment; however, any edits to it will get removed if the file is opened in a newer version of Excel. Learn more: https://go.microsoft.com/fwlink/?linkid=870924
Comment:
    .352</t>
      </text>
    </comment>
    <comment ref="AD9" authorId="78" shapeId="0" xr:uid="{3EB0BB67-9B6A-414C-81BE-F885E20FBFCB}">
      <text>
        <t>[Threaded comment]
Your version of Excel allows you to read this threaded comment; however, any edits to it will get removed if the file is opened in a newer version of Excel. Learn more: https://go.microsoft.com/fwlink/?linkid=870924
Comment:
    .352
.354</t>
      </text>
    </comment>
    <comment ref="AE9" authorId="79" shapeId="0" xr:uid="{50B61ECB-69F7-42D3-A7D8-C70B6FF311A0}">
      <text>
        <t>[Threaded comment]
Your version of Excel allows you to read this threaded comment; however, any edits to it will get removed if the file is opened in a newer version of Excel. Learn more: https://go.microsoft.com/fwlink/?linkid=870924
Comment:
    .352
.389</t>
      </text>
    </comment>
    <comment ref="AF9" authorId="80" shapeId="0" xr:uid="{573C5950-2F10-491A-B2FF-C9EE74287A53}">
      <text>
        <t>[Threaded comment]
Your version of Excel allows you to read this threaded comment; however, any edits to it will get removed if the file is opened in a newer version of Excel. Learn more: https://go.microsoft.com/fwlink/?linkid=870924
Comment:
    .58-.59
.77</t>
      </text>
    </comment>
    <comment ref="AG9" authorId="81" shapeId="0" xr:uid="{916713E7-708F-4478-9557-7BAC9060C1B9}">
      <text>
        <t>[Threaded comment]
Your version of Excel allows you to read this threaded comment; however, any edits to it will get removed if the file is opened in a newer version of Excel. Learn more: https://go.microsoft.com/fwlink/?linkid=870924
Comment:
    .68
.76
.333</t>
      </text>
    </comment>
    <comment ref="Q10" authorId="82" shapeId="0" xr:uid="{2E9FDB49-56F4-4B26-8F56-B2E973D56E0C}">
      <text>
        <t>[Threaded comment]
Your version of Excel allows you to read this threaded comment; however, any edits to it will get removed if the file is opened in a newer version of Excel. Learn more: https://go.microsoft.com/fwlink/?linkid=870924
Comment:
    Check</t>
      </text>
    </comment>
    <comment ref="S10" authorId="83" shapeId="0" xr:uid="{8F109CA9-A73F-4D44-9853-7DF42497C09B}">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V10" authorId="84" shapeId="0" xr:uid="{8327C607-6C88-4853-8508-8D8466303F6B}">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W10" authorId="85" shapeId="0" xr:uid="{458CCA5A-8A40-4513-B23F-802C0D07DF7C}">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Y10" authorId="86" shapeId="0" xr:uid="{C5576B95-FB4A-46B9-A90B-42D5350622B5}">
      <text>
        <t>[Threaded comment]
Your version of Excel allows you to read this threaded comment; however, any edits to it will get removed if the file is opened in a newer version of Excel. Learn more: https://go.microsoft.com/fwlink/?linkid=870924
Comment:
    .229</t>
      </text>
    </comment>
    <comment ref="Z10" authorId="87" shapeId="0" xr:uid="{32EF9CD7-BA2B-483C-BB0C-A46C079D3CEF}">
      <text>
        <t>[Threaded comment]
Your version of Excel allows you to read this threaded comment; however, any edits to it will get removed if the file is opened in a newer version of Excel. Learn more: https://go.microsoft.com/fwlink/?linkid=870924
Comment:
    .239</t>
      </text>
    </comment>
    <comment ref="AA10" authorId="88" shapeId="0" xr:uid="{2D5667F1-0566-448B-9EFA-89E7C1AB570F}">
      <text>
        <t>[Threaded comment]
Your version of Excel allows you to read this threaded comment; however, any edits to it will get removed if the file is opened in a newer version of Excel. Learn more: https://go.microsoft.com/fwlink/?linkid=870924
Comment:
    .255
.257</t>
      </text>
    </comment>
    <comment ref="AB10" authorId="89" shapeId="0" xr:uid="{F4605D22-990D-4459-AC64-EA33DFCE2B33}">
      <text>
        <t>[Threaded comment]
Your version of Excel allows you to read this threaded comment; however, any edits to it will get removed if the file is opened in a newer version of Excel. Learn more: https://go.microsoft.com/fwlink/?linkid=870924
Comment:
    .300</t>
      </text>
    </comment>
    <comment ref="AC10" authorId="90" shapeId="0" xr:uid="{99C678DB-11A8-48A2-ADAA-7A51963FA428}">
      <text>
        <t>[Threaded comment]
Your version of Excel allows you to read this threaded comment; however, any edits to it will get removed if the file is opened in a newer version of Excel. Learn more: https://go.microsoft.com/fwlink/?linkid=870924
Comment:
    .310</t>
      </text>
    </comment>
    <comment ref="AD10" authorId="91" shapeId="0" xr:uid="{A569A70E-5132-4D1C-8E2C-BCD69901996D}">
      <text>
        <t>[Threaded comment]
Your version of Excel allows you to read this threaded comment; however, any edits to it will get removed if the file is opened in a newer version of Excel. Learn more: https://go.microsoft.com/fwlink/?linkid=870924
Comment:
    .310
.312
.314</t>
      </text>
    </comment>
    <comment ref="AE10" authorId="92" shapeId="0" xr:uid="{B9211CE3-9786-4DB4-AF30-2F4B436DF855}">
      <text>
        <t>[Threaded comment]
Your version of Excel allows you to read this threaded comment; however, any edits to it will get removed if the file is opened in a newer version of Excel. Learn more: https://go.microsoft.com/fwlink/?linkid=870924
Comment:
    .310
.330</t>
      </text>
    </comment>
    <comment ref="AF10" authorId="93" shapeId="0" xr:uid="{1CC0472A-E895-4228-937F-B0E6895ED123}">
      <text>
        <t>[Threaded comment]
Your version of Excel allows you to read this threaded comment; however, any edits to it will get removed if the file is opened in a newer version of Excel. Learn more: https://go.microsoft.com/fwlink/?linkid=870924
Comment:
    .24-25
.337</t>
      </text>
    </comment>
    <comment ref="AG10" authorId="94" shapeId="0" xr:uid="{57892AA3-FDEB-4730-9DA5-61DC02DBFE3C}">
      <text>
        <t>[Threaded comment]
Your version of Excel allows you to read this threaded comment; however, any edits to it will get removed if the file is opened in a newer version of Excel. Learn more: https://go.microsoft.com/fwlink/?linkid=870924
Comment:
    .25
.30
.72
.82</t>
      </text>
    </comment>
    <comment ref="AS10" authorId="95" shapeId="0" xr:uid="{BD4BF902-3B15-4F98-B336-684F10E9EEF8}">
      <text>
        <t>[Threaded comment]
Your version of Excel allows you to read this threaded comment; however, any edits to it will get removed if the file is opened in a newer version of Excel. Learn more: https://go.microsoft.com/fwlink/?linkid=870924
Comment:
    Darts</t>
      </text>
    </comment>
    <comment ref="S11" authorId="96" shapeId="0" xr:uid="{14B9FB9F-507E-4335-AEB7-E016568814AF}">
      <text>
        <t>[Threaded comment]
Your version of Excel allows you to read this threaded comment; however, any edits to it will get removed if the file is opened in a newer version of Excel. Learn more: https://go.microsoft.com/fwlink/?linkid=870924
Comment:
    .39
.339</t>
      </text>
    </comment>
    <comment ref="W11" authorId="97" shapeId="0" xr:uid="{9138FA53-0D99-4E3F-A2F6-E2B056E8BD15}">
      <text>
        <t>[Threaded comment]
Your version of Excel allows you to read this threaded comment; however, any edits to it will get removed if the file is opened in a newer version of Excel. Learn more: https://go.microsoft.com/fwlink/?linkid=870924
Comment:
    .39
.339</t>
      </text>
    </comment>
    <comment ref="Y11" authorId="98" shapeId="0" xr:uid="{652BDA78-2EC6-4AD4-9B64-392CF78A0D04}">
      <text>
        <t>[Threaded comment]
Your version of Excel allows you to read this threaded comment; however, any edits to it will get removed if the file is opened in a newer version of Excel. Learn more: https://go.microsoft.com/fwlink/?linkid=870924
Comment:
    .307</t>
      </text>
    </comment>
    <comment ref="Z11" authorId="99" shapeId="0" xr:uid="{2A3911DA-BA6D-4797-B2CC-6E6A04EF9ED3}">
      <text>
        <t>[Threaded comment]
Your version of Excel allows you to read this threaded comment; however, any edits to it will get removed if the file is opened in a newer version of Excel. Learn more: https://go.microsoft.com/fwlink/?linkid=870924
Comment:
    .321</t>
      </text>
    </comment>
    <comment ref="AA11" authorId="100" shapeId="0" xr:uid="{66F1C17D-8C5F-43A6-80D9-F95B914FE8BD}">
      <text>
        <t>[Threaded comment]
Your version of Excel allows you to read this threaded comment; however, any edits to it will get removed if the file is opened in a newer version of Excel. Learn more: https://go.microsoft.com/fwlink/?linkid=870924
Comment:
    .339
.341</t>
      </text>
    </comment>
    <comment ref="AB11" authorId="101" shapeId="0" xr:uid="{2003293A-5D9D-4584-86F0-3D81A4438A89}">
      <text>
        <t>[Threaded comment]
Your version of Excel allows you to read this threaded comment; however, any edits to it will get removed if the file is opened in a newer version of Excel. Learn more: https://go.microsoft.com/fwlink/?linkid=870924
Comment:
    .398</t>
      </text>
    </comment>
    <comment ref="AC11" authorId="102" shapeId="0" xr:uid="{5CD7767F-5E3F-4243-98E0-A0F3FF28E7E1}">
      <text>
        <t>[Threaded comment]
Your version of Excel allows you to read this threaded comment; however, any edits to it will get removed if the file is opened in a newer version of Excel. Learn more: https://go.microsoft.com/fwlink/?linkid=870924
Comment:
    .405</t>
      </text>
    </comment>
    <comment ref="AD11" authorId="103" shapeId="0" xr:uid="{2A36B220-42A5-4B93-9692-2D5EF426F4D0}">
      <text>
        <t>[Threaded comment]
Your version of Excel allows you to read this threaded comment; however, any edits to it will get removed if the file is opened in a newer version of Excel. Learn more: https://go.microsoft.com/fwlink/?linkid=870924
Comment:
    .405
.407
.409</t>
      </text>
    </comment>
    <comment ref="AE11" authorId="104" shapeId="0" xr:uid="{F490BE34-E22B-410B-8612-A91490F9A111}">
      <text>
        <t>[Threaded comment]
Your version of Excel allows you to read this threaded comment; however, any edits to it will get removed if the file is opened in a newer version of Excel. Learn more: https://go.microsoft.com/fwlink/?linkid=870924
Comment:
    .405
.429</t>
      </text>
    </comment>
    <comment ref="AF11" authorId="105" shapeId="0" xr:uid="{456CF1BF-27B3-4CAE-9FFD-AD72CC413060}">
      <text>
        <t>[Threaded comment]
Your version of Excel allows you to read this threaded comment; however, any edits to it will get removed if the file is opened in a newer version of Excel. Learn more: https://go.microsoft.com/fwlink/?linkid=870924
Comment:
    .36</t>
      </text>
    </comment>
    <comment ref="AG11" authorId="106" shapeId="0" xr:uid="{D77B8BBA-756E-488C-93FB-C91A3BAE99DE}">
      <text>
        <t>[Threaded comment]
Your version of Excel allows you to read this threaded comment; however, any edits to it will get removed if the file is opened in a newer version of Excel. Learn more: https://go.microsoft.com/fwlink/?linkid=870924
Comment:
    .54
.124
.361</t>
      </text>
    </comment>
    <comment ref="AS11" authorId="107" shapeId="0" xr:uid="{02285F79-8C4E-462D-B109-48FD2897F386}">
      <text>
        <t>[Threaded comment]
Your version of Excel allows you to read this threaded comment; however, any edits to it will get removed if the file is opened in a newer version of Excel. Learn more: https://go.microsoft.com/fwlink/?linkid=870924
Comment:
    Darts</t>
      </text>
    </comment>
    <comment ref="S12" authorId="108" shapeId="0" xr:uid="{80DD5EC9-385A-4DE2-8CFA-877ACF33A4B2}">
      <text>
        <t>[Threaded comment]
Your version of Excel allows you to read this threaded comment; however, any edits to it will get removed if the file is opened in a newer version of Excel. Learn more: https://go.microsoft.com/fwlink/?linkid=870924
Comment:
    .211</t>
      </text>
    </comment>
    <comment ref="W12" authorId="109" shapeId="0" xr:uid="{95BE14B0-7503-4098-BA39-71FE63FE1207}">
      <text>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text>
    </comment>
    <comment ref="Y12" authorId="110" shapeId="0" xr:uid="{679FA712-0146-4E13-8641-2F8F1A011A69}">
      <text>
        <t>[Threaded comment]
Your version of Excel allows you to read this threaded comment; however, any edits to it will get removed if the file is opened in a newer version of Excel. Learn more: https://go.microsoft.com/fwlink/?linkid=870924
Comment:
    .142</t>
      </text>
    </comment>
    <comment ref="Z12" authorId="111" shapeId="0" xr:uid="{E57D2E1E-669E-4108-A7F7-7B86E181E865}">
      <text>
        <t>[Threaded comment]
Your version of Excel allows you to read this threaded comment; however, any edits to it will get removed if the file is opened in a newer version of Excel. Learn more: https://go.microsoft.com/fwlink/?linkid=870924
Comment:
    .188
Reply:
    Used to be Yes?</t>
      </text>
    </comment>
    <comment ref="AA12" authorId="112" shapeId="0" xr:uid="{C7B009AF-D30C-487B-9EA2-6A94B48CAEF2}">
      <text>
        <t>[Threaded comment]
Your version of Excel allows you to read this threaded comment; however, any edits to it will get removed if the file is opened in a newer version of Excel. Learn more: https://go.microsoft.com/fwlink/?linkid=870924
Comment:
    .211</t>
      </text>
    </comment>
    <comment ref="AB12" authorId="113" shapeId="0" xr:uid="{2DC6096D-F550-4FF4-8077-746F5C34DAD4}">
      <text>
        <t>[Threaded comment]
Your version of Excel allows you to read this threaded comment; however, any edits to it will get removed if the file is opened in a newer version of Excel. Learn more: https://go.microsoft.com/fwlink/?linkid=870924
Comment:
    .205
.210</t>
      </text>
    </comment>
    <comment ref="AC12" authorId="114" shapeId="0" xr:uid="{46E52BEA-6585-43C5-8219-2433D3F336A6}">
      <text>
        <t>[Threaded comment]
Your version of Excel allows you to read this threaded comment; however, any edits to it will get removed if the file is opened in a newer version of Excel. Learn more: https://go.microsoft.com/fwlink/?linkid=870924
Comment:
    .220
.269</t>
      </text>
    </comment>
    <comment ref="AD12" authorId="115" shapeId="0" xr:uid="{B3471C83-0B98-4490-A0C6-13C30A9D7054}">
      <text>
        <t>[Threaded comment]
Your version of Excel allows you to read this threaded comment; however, any edits to it will get removed if the file is opened in a newer version of Excel. Learn more: https://go.microsoft.com/fwlink/?linkid=870924
Comment:
    .235-.237
Reply:
    Yes if we take the 1° and 2° offers, the 3° is not clear in terms of timing.</t>
      </text>
    </comment>
    <comment ref="AE12" authorId="116" shapeId="0" xr:uid="{C0DAFFF0-5F71-4335-810A-5C76BF02E094}">
      <text>
        <t>[Threaded comment]
Your version of Excel allows you to read this threaded comment; however, any edits to it will get removed if the file is opened in a newer version of Excel. Learn more: https://go.microsoft.com/fwlink/?linkid=870924
Comment:
    .242
.271
.283
.285</t>
      </text>
    </comment>
    <comment ref="D13" authorId="117" shapeId="0" xr:uid="{D2DCE1C1-1B73-47D7-81BE-11F288517D57}">
      <text>
        <t>[Threaded comment]
Your version of Excel allows you to read this threaded comment; however, any edits to it will get removed if the file is opened in a newer version of Excel. Learn more: https://go.microsoft.com/fwlink/?linkid=870924
Comment:
    Apparently comes from a previous settelement where an injunction was asserted
Reply:
    (initially, but patent expired before decision)
Justus</t>
      </text>
    </comment>
    <comment ref="E13" authorId="118" shapeId="0" xr:uid="{518469CA-1F4A-46B0-BC2B-8099A7F31349}">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Q13" authorId="119" shapeId="0" xr:uid="{FCCB471E-EE0A-4222-9705-4FB92564BDC8}">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S13" authorId="120" shapeId="0" xr:uid="{C0C84D00-BE63-4A2C-98A6-83AE40166A32}">
      <text>
        <t>[Threaded comment]
Your version of Excel allows you to read this threaded comment; however, any edits to it will get removed if the file is opened in a newer version of Excel. Learn more: https://go.microsoft.com/fwlink/?linkid=870924
Comment:
    .96</t>
      </text>
    </comment>
    <comment ref="W13" authorId="121" shapeId="0" xr:uid="{68F1A096-FB48-4540-8EB7-EE23F006E619}">
      <text>
        <t>[Threaded comment]
Your version of Excel allows you to read this threaded comment; however, any edits to it will get removed if the file is opened in a newer version of Excel. Learn more: https://go.microsoft.com/fwlink/?linkid=870924
Comment:
    .96</t>
      </text>
    </comment>
    <comment ref="Y13" authorId="122" shapeId="0" xr:uid="{F8C5E988-6610-4EFC-A032-F3B269FF5BC5}">
      <text>
        <t>[Threaded comment]
Your version of Excel allows you to read this threaded comment; however, any edits to it will get removed if the file is opened in a newer version of Excel. Learn more: https://go.microsoft.com/fwlink/?linkid=870924
Comment:
    .227</t>
      </text>
    </comment>
    <comment ref="Z13" authorId="123" shapeId="0" xr:uid="{F70D2C06-E011-4631-ADE7-B8CA3FB8F229}">
      <text>
        <t>[Threaded comment]
Your version of Excel allows you to read this threaded comment; however, any edits to it will get removed if the file is opened in a newer version of Excel. Learn more: https://go.microsoft.com/fwlink/?linkid=870924
Comment:
    .237</t>
      </text>
    </comment>
    <comment ref="AA13" authorId="124" shapeId="0" xr:uid="{55385772-3D73-4046-BC54-86361972A274}">
      <text>
        <t>[Threaded comment]
Your version of Excel allows you to read this threaded comment; however, any edits to it will get removed if the file is opened in a newer version of Excel. Learn more: https://go.microsoft.com/fwlink/?linkid=870924
Comment:
    .253
.255
.258</t>
      </text>
    </comment>
    <comment ref="AB13" authorId="125" shapeId="0" xr:uid="{740B158C-5415-42F9-9A7D-42F54B1397D5}">
      <text>
        <t>[Threaded comment]
Your version of Excel allows you to read this threaded comment; however, any edits to it will get removed if the file is opened in a newer version of Excel. Learn more: https://go.microsoft.com/fwlink/?linkid=870924
Comment:
    .253
.298</t>
      </text>
    </comment>
    <comment ref="AC13" authorId="126" shapeId="0" xr:uid="{A95BB7CE-E09A-4C3D-89AB-0769D461C0BD}">
      <text>
        <t>[Threaded comment]
Your version of Excel allows you to read this threaded comment; however, any edits to it will get removed if the file is opened in a newer version of Excel. Learn more: https://go.microsoft.com/fwlink/?linkid=870924
Comment:
    .308</t>
      </text>
    </comment>
    <comment ref="AD13" authorId="127" shapeId="0" xr:uid="{1DB01CCF-AE95-4AB3-BF47-913A232A3BD7}">
      <text>
        <t>[Threaded comment]
Your version of Excel allows you to read this threaded comment; however, any edits to it will get removed if the file is opened in a newer version of Excel. Learn more: https://go.microsoft.com/fwlink/?linkid=870924
Comment:
    .308
.310
.312</t>
      </text>
    </comment>
    <comment ref="AE13" authorId="128" shapeId="0" xr:uid="{D8C99A50-5FDB-4925-8FEE-039F3A5B39A1}">
      <text>
        <t>[Threaded comment]
Your version of Excel allows you to read this threaded comment; however, any edits to it will get removed if the file is opened in a newer version of Excel. Learn more: https://go.microsoft.com/fwlink/?linkid=870924
Comment:
    .308
.328</t>
      </text>
    </comment>
    <comment ref="AF13" authorId="129" shapeId="0" xr:uid="{66C3080C-A5C6-44C1-8C07-981EBCDB6115}">
      <text>
        <t>[Threaded comment]
Your version of Excel allows you to read this threaded comment; however, any edits to it will get removed if the file is opened in a newer version of Excel. Learn more: https://go.microsoft.com/fwlink/?linkid=870924
Comment:
    .54-.55</t>
      </text>
    </comment>
    <comment ref="AG13" authorId="130" shapeId="0" xr:uid="{523A47A7-9A1D-4B6A-B8C6-217DB7A7CCBB}">
      <text>
        <t>[Threaded comment]
Your version of Excel allows you to read this threaded comment; however, any edits to it will get removed if the file is opened in a newer version of Excel. Learn more: https://go.microsoft.com/fwlink/?linkid=870924
Comment:
    .55
.60
.102</t>
      </text>
    </comment>
    <comment ref="AS13" authorId="131" shapeId="0" xr:uid="{AC2B570A-15AB-43B5-AD1D-554728708421}">
      <text>
        <t>[Threaded comment]
Your version of Excel allows you to read this threaded comment; however, any edits to it will get removed if the file is opened in a newer version of Excel. Learn more: https://go.microsoft.com/fwlink/?linkid=870924
Comment:
    Darts</t>
      </text>
    </comment>
    <comment ref="S14" authorId="132" shapeId="0" xr:uid="{691A1B6F-FA88-4FD1-ADBD-B393A92BC9EA}">
      <text>
        <t>[Threaded comment]
Your version of Excel allows you to read this threaded comment; however, any edits to it will get removed if the file is opened in a newer version of Excel. Learn more: https://go.microsoft.com/fwlink/?linkid=870924
Comment:
    .40
.214
11.07.2018
.759
Mention of a prior infringement notification in 2016</t>
      </text>
    </comment>
    <comment ref="W14" authorId="133" shapeId="0" xr:uid="{BB512E5E-D1FE-423D-8631-99DF600A5497}">
      <text>
        <t>[Threaded comment]
Your version of Excel allows you to read this threaded comment; however, any edits to it will get removed if the file is opened in a newer version of Excel. Learn more: https://go.microsoft.com/fwlink/?linkid=870924
Comment:
    .40
.214
.759
Mention of a prior infringement notification in 2016</t>
      </text>
    </comment>
    <comment ref="Y14" authorId="134" shapeId="0" xr:uid="{1AE5DBD9-176F-472D-A58B-A2AF3EDDD55F}">
      <text>
        <t>[Threaded comment]
Your version of Excel allows you to read this threaded comment; however, any edits to it will get removed if the file is opened in a newer version of Excel. Learn more: https://go.microsoft.com/fwlink/?linkid=870924
Comment:
    .189</t>
      </text>
    </comment>
    <comment ref="Z14" authorId="135" shapeId="0" xr:uid="{D892EFA6-909A-4EA1-BA9A-B585B074222B}">
      <text>
        <t>[Threaded comment]
Your version of Excel allows you to read this threaded comment; however, any edits to it will get removed if the file is opened in a newer version of Excel. Learn more: https://go.microsoft.com/fwlink/?linkid=870924
Comment:
    .187
.199</t>
      </text>
    </comment>
    <comment ref="AA14" authorId="136" shapeId="0" xr:uid="{B77E86EE-3E7D-46FF-88DE-01EE7D311119}">
      <text>
        <t xml:space="preserve">[Threaded comment]
Your version of Excel allows you to read this threaded comment; however, any edits to it will get removed if the file is opened in a newer version of Excel. Learn more: https://go.microsoft.com/fwlink/?linkid=870924
Comment:
    .206
.209
.213
.758
</t>
      </text>
    </comment>
    <comment ref="AB14" authorId="137" shapeId="0" xr:uid="{BAB8D0D4-EE33-46E7-A0A7-991C476FC3CB}">
      <text>
        <t>[Threaded comment]
Your version of Excel allows you to read this threaded comment; however, any edits to it will get removed if the file is opened in a newer version of Excel. Learn more: https://go.microsoft.com/fwlink/?linkid=870924
Comment:
    .236
.762-.763
v
.751
.760</t>
      </text>
    </comment>
    <comment ref="AC14" authorId="138" shapeId="0" xr:uid="{39B49277-791B-4CE3-969E-48DDD7B8F5A8}">
      <text>
        <t>[Threaded comment]
Your version of Excel allows you to read this threaded comment; however, any edits to it will get removed if the file is opened in a newer version of Excel. Learn more: https://go.microsoft.com/fwlink/?linkid=870924
Comment:
    .240-.241
.244
.264
.268
.270
.280
.306
.314
.319
.325</t>
      </text>
    </comment>
    <comment ref="AD14" authorId="139" shapeId="0" xr:uid="{2D5903F3-791C-4366-9C7A-4803D6F372F1}">
      <text>
        <t>[Threaded comment]
Your version of Excel allows you to read this threaded comment; however, any edits to it will get removed if the file is opened in a newer version of Excel. Learn more: https://go.microsoft.com/fwlink/?linkid=870924
Comment:
    .241
.759</t>
      </text>
    </comment>
    <comment ref="AE14" authorId="140" shapeId="0" xr:uid="{94EEB219-E45B-48B7-B1B0-A2F1FFF2CF4B}">
      <text>
        <t>[Threaded comment]
Your version of Excel allows you to read this threaded comment; however, any edits to it will get removed if the file is opened in a newer version of Excel. Learn more: https://go.microsoft.com/fwlink/?linkid=870924
Comment:
    .264
.268
.270
.280
.306
.314
.319
.325</t>
      </text>
    </comment>
    <comment ref="AF14" authorId="141" shapeId="0" xr:uid="{727633F1-BECC-458B-90DB-67F0D59EFBB2}">
      <text>
        <t>[Threaded comment]
Your version of Excel allows you to read this threaded comment; however, any edits to it will get removed if the file is opened in a newer version of Excel. Learn more: https://go.microsoft.com/fwlink/?linkid=870924
Comment:
    .20-.21</t>
      </text>
    </comment>
    <comment ref="AG14" authorId="142" shapeId="0" xr:uid="{C405E714-911F-4686-9442-1886150507E2}">
      <text>
        <t>[Threaded comment]
Your version of Excel allows you to read this threaded comment; however, any edits to it will get removed if the file is opened in a newer version of Excel. Learn more: https://go.microsoft.com/fwlink/?linkid=870924
Comment:
    .25</t>
      </text>
    </comment>
    <comment ref="AS14" authorId="143" shapeId="0" xr:uid="{B1F16176-EEE7-44ED-BA26-8EC581D8F9C3}">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15" authorId="144" shapeId="0" xr:uid="{3527BCF0-C7CF-4F36-A4F1-C308C8B701E2}">
      <text>
        <t>[Threaded comment]
Your version of Excel allows you to read this threaded comment; however, any edits to it will get removed if the file is opened in a newer version of Excel. Learn more: https://go.microsoft.com/fwlink/?linkid=870924
Comment:
    .93
.286
03.09.2018
.283
.299
.729
Mention of a prior infringement notification in 2016</t>
      </text>
    </comment>
    <comment ref="W15" authorId="145" shapeId="0" xr:uid="{185A59BE-E584-4582-8716-34A0A928F4DD}">
      <text>
        <t>[Threaded comment]
Your version of Excel allows you to read this threaded comment; however, any edits to it will get removed if the file is opened in a newer version of Excel. Learn more: https://go.microsoft.com/fwlink/?linkid=870924
Comment:
    .93
.286
.729
Mention of a prior infringement notification in 2016</t>
      </text>
    </comment>
    <comment ref="Y15" authorId="146" shapeId="0" xr:uid="{1B4F4FF7-7D19-4974-BF73-651178D1395C}">
      <text>
        <t>[Threaded comment]
Your version of Excel allows you to read this threaded comment; however, any edits to it will get removed if the file is opened in a newer version of Excel. Learn more: https://go.microsoft.com/fwlink/?linkid=870924
Comment:
    .261</t>
      </text>
    </comment>
    <comment ref="Z15" authorId="147" shapeId="0" xr:uid="{8E69EA43-EE77-41D4-BD95-E9238445985F}">
      <text>
        <t>[Threaded comment]
Your version of Excel allows you to read this threaded comment; however, any edits to it will get removed if the file is opened in a newer version of Excel. Learn more: https://go.microsoft.com/fwlink/?linkid=870924
Comment:
    .259
.271</t>
      </text>
    </comment>
    <comment ref="AA15" authorId="148" shapeId="0" xr:uid="{B032F41A-5E1C-4213-96C7-BF9328181352}">
      <text>
        <t>[Threaded comment]
Your version of Excel allows you to read this threaded comment; however, any edits to it will get removed if the file is opened in a newer version of Excel. Learn more: https://go.microsoft.com/fwlink/?linkid=870924
Comment:
    .278
.280
.285</t>
      </text>
    </comment>
    <comment ref="AB15" authorId="149" shapeId="0" xr:uid="{664687A0-DB82-4AF5-8153-C7606A681006}">
      <text>
        <t>[Threaded comment]
Your version of Excel allows you to read this threaded comment; however, any edits to it will get removed if the file is opened in a newer version of Excel. Learn more: https://go.microsoft.com/fwlink/?linkid=870924
Comment:
    .308</t>
      </text>
    </comment>
    <comment ref="AC15" authorId="150" shapeId="0" xr:uid="{18156598-DA80-4B94-927C-F76D65D08C34}">
      <text>
        <t>[Threaded comment]
Your version of Excel allows you to read this threaded comment; however, any edits to it will get removed if the file is opened in a newer version of Excel. Learn more: https://go.microsoft.com/fwlink/?linkid=870924
Comment:
    .312-.313
.316
.334
.336
.340
.350
.352
.378
.386
.391
.397</t>
      </text>
    </comment>
    <comment ref="AD15" authorId="151" shapeId="0" xr:uid="{39AE3E06-C470-474A-B0E0-F70CDA7D6AF2}">
      <text>
        <t>[Threaded comment]
Your version of Excel allows you to read this threaded comment; however, any edits to it will get removed if the file is opened in a newer version of Excel. Learn more: https://go.microsoft.com/fwlink/?linkid=870924
Comment:
    .313
.729</t>
      </text>
    </comment>
    <comment ref="AE15" authorId="152" shapeId="0" xr:uid="{308A59EA-5608-4FAD-B349-CB840292CC82}">
      <text>
        <t>[Threaded comment]
Your version of Excel allows you to read this threaded comment; however, any edits to it will get removed if the file is opened in a newer version of Excel. Learn more: https://go.microsoft.com/fwlink/?linkid=870924
Comment:
    .334
.336
.340
.350
.352
.378
.386
.391
.397</t>
      </text>
    </comment>
    <comment ref="AF15" authorId="153" shapeId="0" xr:uid="{BC32D8AC-7D3C-4E99-8839-F048B5D1FE7D}">
      <text>
        <t>[Threaded comment]
Your version of Excel allows you to read this threaded comment; however, any edits to it will get removed if the file is opened in a newer version of Excel. Learn more: https://go.microsoft.com/fwlink/?linkid=870924
Comment:
    .17-.18</t>
      </text>
    </comment>
    <comment ref="AG15" authorId="154" shapeId="0" xr:uid="{FE01621A-4E16-4131-92F3-B77F31FE5D4D}">
      <text>
        <t>[Threaded comment]
Your version of Excel allows you to read this threaded comment; however, any edits to it will get removed if the file is opened in a newer version of Excel. Learn more: https://go.microsoft.com/fwlink/?linkid=870924
Comment:
    .22</t>
      </text>
    </comment>
    <comment ref="AS15" authorId="155" shapeId="0" xr:uid="{4980AA7A-AFBA-466B-B56B-CEF1FBF31C03}">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16" authorId="156" shapeId="0" xr:uid="{3F009848-342E-43D1-B7AC-4EA920CDE45C}">
      <text>
        <t>[Threaded comment]
Your version of Excel allows you to read this threaded comment; however, any edits to it will get removed if the file is opened in a newer version of Excel. Learn more: https://go.microsoft.com/fwlink/?linkid=870924
Comment:
    .98
.328
20.11.2018
.325
.341
.579
Mention of a prior infringement notification in 2016</t>
      </text>
    </comment>
    <comment ref="W16" authorId="157" shapeId="0" xr:uid="{E1CCDFAA-33C1-4582-82D9-8A69C00030F5}">
      <text>
        <t>[Threaded comment]
Your version of Excel allows you to read this threaded comment; however, any edits to it will get removed if the file is opened in a newer version of Excel. Learn more: https://go.microsoft.com/fwlink/?linkid=870924
Comment:
    .354
.98
.328
20.11.2018
.579
Mention of a prior infringement notification in 2016</t>
      </text>
    </comment>
    <comment ref="Y16" authorId="158" shapeId="0" xr:uid="{CA62744D-382D-46F5-987C-B23DDA77016B}">
      <text>
        <t>[Threaded comment]
Your version of Excel allows you to read this threaded comment; however, any edits to it will get removed if the file is opened in a newer version of Excel. Learn more: https://go.microsoft.com/fwlink/?linkid=870924
Comment:
    .303</t>
      </text>
    </comment>
    <comment ref="Z16" authorId="159" shapeId="0" xr:uid="{8FED05BD-F7FB-47AD-80DE-82F2470A042B}">
      <text>
        <t>[Threaded comment]
Your version of Excel allows you to read this threaded comment; however, any edits to it will get removed if the file is opened in a newer version of Excel. Learn more: https://go.microsoft.com/fwlink/?linkid=870924
Comment:
    .301</t>
      </text>
    </comment>
    <comment ref="AA16" authorId="160" shapeId="0" xr:uid="{B4C4C990-B26A-4ECC-8076-8D9ABC8206AD}">
      <text>
        <t>[Threaded comment]
Your version of Excel allows you to read this threaded comment; however, any edits to it will get removed if the file is opened in a newer version of Excel. Learn more: https://go.microsoft.com/fwlink/?linkid=870924
Comment:
    .320
.322
.327</t>
      </text>
    </comment>
    <comment ref="AB16" authorId="161" shapeId="0" xr:uid="{BB8D7B27-8DAA-411C-86A9-D053F02A1E64}">
      <text>
        <t>[Threaded comment]
Your version of Excel allows you to read this threaded comment; however, any edits to it will get removed if the file is opened in a newer version of Excel. Learn more: https://go.microsoft.com/fwlink/?linkid=870924
Comment:
    .350</t>
      </text>
    </comment>
    <comment ref="AC16" authorId="162" shapeId="0" xr:uid="{18A9A681-E061-408F-BA0C-576FE14086A8}">
      <text>
        <t>[Threaded comment]
Your version of Excel allows you to read this threaded comment; however, any edits to it will get removed if the file is opened in a newer version of Excel. Learn more: https://go.microsoft.com/fwlink/?linkid=870924
Comment:
    .354-.355
.358
.376
.378
.382
.392
.394
.420
.428
.433
.439</t>
      </text>
    </comment>
    <comment ref="AD16" authorId="163" shapeId="0" xr:uid="{7AFD2C74-985C-45EF-BC01-89C9A6EF9BB4}">
      <text>
        <t>[Threaded comment]
Your version of Excel allows you to read this threaded comment; however, any edits to it will get removed if the file is opened in a newer version of Excel. Learn more: https://go.microsoft.com/fwlink/?linkid=870924
Comment:
    .355
.579</t>
      </text>
    </comment>
    <comment ref="AE16" authorId="164" shapeId="0" xr:uid="{B27EA21D-005E-489D-918C-18C37841A300}">
      <text>
        <t>[Threaded comment]
Your version of Excel allows you to read this threaded comment; however, any edits to it will get removed if the file is opened in a newer version of Excel. Learn more: https://go.microsoft.com/fwlink/?linkid=870924
Comment:
    .376
.378
.382
.392
.394
.420
.428
.433
.439</t>
      </text>
    </comment>
    <comment ref="AF16" authorId="165" shapeId="0" xr:uid="{49DF1BA4-7F4C-4285-8947-2B8FB78006A5}">
      <text>
        <t>[Threaded comment]
Your version of Excel allows you to read this threaded comment; however, any edits to it will get removed if the file is opened in a newer version of Excel. Learn more: https://go.microsoft.com/fwlink/?linkid=870924
Comment:
    .22-.23</t>
      </text>
    </comment>
    <comment ref="AG16" authorId="166" shapeId="0" xr:uid="{75B90ADD-5519-4BE2-A13B-C3BEB2DAB116}">
      <text>
        <t>[Threaded comment]
Your version of Excel allows you to read this threaded comment; however, any edits to it will get removed if the file is opened in a newer version of Excel. Learn more: https://go.microsoft.com/fwlink/?linkid=870924
Comment:
    .27</t>
      </text>
    </comment>
    <comment ref="AS16" authorId="167" shapeId="0" xr:uid="{398DB35F-FB63-4C5F-8E37-463981410CAA}">
      <text>
        <t>[Threaded comment]
Your version of Excel allows you to read this threaded comment; however, any edits to it will get removed if the file is opened in a newer version of Excel. Learn more: https://go.microsoft.com/fwlink/?linkid=870924
Comment:
    Darts</t>
      </text>
    </comment>
    <comment ref="E17" authorId="168" shapeId="0" xr:uid="{4985B4A8-6D6A-47A5-BECB-25374B5AAD91}">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S17" authorId="169" shapeId="0" xr:uid="{E7DFCAEE-04AF-4B50-8990-1410C0BA0D4F}">
      <text>
        <t>[Threaded comment]
Your version of Excel allows you to read this threaded comment; however, any edits to it will get removed if the file is opened in a newer version of Excel. Learn more: https://go.microsoft.com/fwlink/?linkid=870924
Comment:
    It only says March 2016
.8</t>
      </text>
    </comment>
    <comment ref="W17" authorId="170" shapeId="0" xr:uid="{E1BE09B1-AC1C-4953-AEB2-19EFF1E9C5BA}">
      <text>
        <t>[Threaded comment]
Your version of Excel allows you to read this threaded comment; however, any edits to it will get removed if the file is opened in a newer version of Excel. Learn more: https://go.microsoft.com/fwlink/?linkid=870924
Comment:
    .8</t>
      </text>
    </comment>
    <comment ref="AA17" authorId="171" shapeId="0" xr:uid="{B8BE2593-076F-4172-AA7F-401D29A9826F}">
      <text>
        <t>[Threaded comment]
Your version of Excel allows you to read this threaded comment; however, any edits to it will get removed if the file is opened in a newer version of Excel. Learn more: https://go.microsoft.com/fwlink/?linkid=870924
Comment:
    .8</t>
      </text>
    </comment>
    <comment ref="AB17" authorId="172" shapeId="0" xr:uid="{248C2095-7B90-4E38-B465-584096FF90F9}">
      <text>
        <t>[Threaded comment]
Your version of Excel allows you to read this threaded comment; however, any edits to it will get removed if the file is opened in a newer version of Excel. Learn more: https://go.microsoft.com/fwlink/?linkid=870924
Comment:
    .8</t>
      </text>
    </comment>
    <comment ref="AF17" authorId="173" shapeId="0" xr:uid="{003941D1-422C-4766-8B64-D8DFCE45BB18}">
      <text>
        <t>[Threaded comment]
Your version of Excel allows you to read this threaded comment; however, any edits to it will get removed if the file is opened in a newer version of Excel. Learn more: https://go.microsoft.com/fwlink/?linkid=870924
Comment:
    .35
Reply:
    Used to be Yes?</t>
      </text>
    </comment>
    <comment ref="AP17" authorId="174" shapeId="0" xr:uid="{61E83C3E-6605-46D7-8ECC-B7D26659021B}">
      <text>
        <t>[Threaded comment]
Your version of Excel allows you to read this threaded comment; however, any edits to it will get removed if the file is opened in a newer version of Excel. Learn more: https://go.microsoft.com/fwlink/?linkid=870924
Comment:
    They specify some claims (1, 2, 4, 6 &amp; 9)</t>
      </text>
    </comment>
    <comment ref="AS17" authorId="175" shapeId="0" xr:uid="{318E850A-2CD0-422A-A8AD-23F22B3964E7}">
      <text>
        <t>[Threaded comment]
Your version of Excel allows you to read this threaded comment; however, any edits to it will get removed if the file is opened in a newer version of Excel. Learn more: https://go.microsoft.com/fwlink/?linkid=870924
Comment:
    In Darts they mention
22.10.2019</t>
      </text>
    </comment>
    <comment ref="S18" authorId="176" shapeId="0" xr:uid="{469C2275-CB2C-4AF7-981E-43CD62EE276E}">
      <text>
        <t>[Threaded comment]
Your version of Excel allows you to read this threaded comment; however, any edits to it will get removed if the file is opened in a newer version of Excel. Learn more: https://go.microsoft.com/fwlink/?linkid=870924
Comment:
    .11</t>
      </text>
    </comment>
    <comment ref="W18" authorId="177" shapeId="0" xr:uid="{45C36D6E-CD9B-450B-B594-1612A6491724}">
      <text>
        <t xml:space="preserve">[Threaded comment]
Your version of Excel allows you to read this threaded comment; however, any edits to it will get removed if the file is opened in a newer version of Excel. Learn more: https://go.microsoft.com/fwlink/?linkid=870924
Comment:
    .11
Reply:
    .131
13.04.2015 </t>
      </text>
    </comment>
    <comment ref="Y18" authorId="178" shapeId="0" xr:uid="{1DF50F32-BB75-4406-8517-33F069F27AE3}">
      <text>
        <t>[Threaded comment]
Your version of Excel allows you to read this threaded comment; however, any edits to it will get removed if the file is opened in a newer version of Excel. Learn more: https://go.microsoft.com/fwlink/?linkid=870924
Comment:
    .69</t>
      </text>
    </comment>
    <comment ref="Z18" authorId="179" shapeId="0" xr:uid="{98B68EEF-1345-4D6A-97FB-CC3448CC4156}">
      <text>
        <t>[Threaded comment]
Your version of Excel allows you to read this threaded comment; however, any edits to it will get removed if the file is opened in a newer version of Excel. Learn more: https://go.microsoft.com/fwlink/?linkid=870924
Comment:
    .69</t>
      </text>
    </comment>
    <comment ref="AA18" authorId="180" shapeId="0" xr:uid="{A2A4C727-1A69-40B7-895D-ABDDC0B20FD3}">
      <text>
        <t>[Threaded comment]
Your version of Excel allows you to read this threaded comment; however, any edits to it will get removed if the file is opened in a newer version of Excel. Learn more: https://go.microsoft.com/fwlink/?linkid=870924
Comment:
    .69</t>
      </text>
    </comment>
    <comment ref="AB18" authorId="181" shapeId="0" xr:uid="{360CAA70-AB88-44E2-9C0C-8BE52C25AFF8}">
      <text>
        <t>[Threaded comment]
Your version of Excel allows you to read this threaded comment; however, any edits to it will get removed if the file is opened in a newer version of Excel. Learn more: https://go.microsoft.com/fwlink/?linkid=870924
Comment:
    .100
.130
.142</t>
      </text>
    </comment>
    <comment ref="AC18" authorId="182" shapeId="0" xr:uid="{2D007222-672C-4305-BC16-CE894702B666}">
      <text>
        <t>[Threaded comment]
Your version of Excel allows you to read this threaded comment; however, any edits to it will get removed if the file is opened in a newer version of Excel. Learn more: https://go.microsoft.com/fwlink/?linkid=870924
Comment:
    .69
Reply:
    Used to be Yes?</t>
      </text>
    </comment>
    <comment ref="AD18" authorId="183" shapeId="0" xr:uid="{40364362-F582-4B85-82DD-A2063CA474DF}">
      <text>
        <t>[Threaded comment]
Your version of Excel allows you to read this threaded comment; however, any edits to it will get removed if the file is opened in a newer version of Excel. Learn more: https://go.microsoft.com/fwlink/?linkid=870924
Comment:
    .69
Reply:
    Used to be Yes?</t>
      </text>
    </comment>
    <comment ref="AE18" authorId="184" shapeId="0" xr:uid="{A5D13F9D-D46D-45C8-9D27-2A0DC855B2C9}">
      <text>
        <t>[Threaded comment]
Your version of Excel allows you to read this threaded comment; however, any edits to it will get removed if the file is opened in a newer version of Excel. Learn more: https://go.microsoft.com/fwlink/?linkid=870924
Comment:
    .69
Reply:
    Used to be Yes?</t>
      </text>
    </comment>
    <comment ref="AF18" authorId="185" shapeId="0" xr:uid="{C89AEDBD-7470-42E8-8556-94E00FCBEC27}">
      <text>
        <t>[Threaded comment]
Your version of Excel allows you to read this threaded comment; however, any edits to it will get removed if the file is opened in a newer version of Excel. Learn more: https://go.microsoft.com/fwlink/?linkid=870924
Comment:
    .8</t>
      </text>
    </comment>
    <comment ref="AG18" authorId="186" shapeId="0" xr:uid="{1D457255-F775-4FB1-B5D1-4EAC03900033}">
      <text>
        <t>[Threaded comment]
Your version of Excel allows you to read this threaded comment; however, any edits to it will get removed if the file is opened in a newer version of Excel. Learn more: https://go.microsoft.com/fwlink/?linkid=870924
Comment:
    .8</t>
      </text>
    </comment>
    <comment ref="AS18" authorId="187" shapeId="0" xr:uid="{204744DE-122F-460C-BC9C-869CF9463F66}">
      <text>
        <t>[Threaded comment]
Your version of Excel allows you to read this threaded comment; however, any edits to it will get removed if the file is opened in a newer version of Excel. Learn more: https://go.microsoft.com/fwlink/?linkid=870924
Comment:
    Darts</t>
      </text>
    </comment>
    <comment ref="O19" authorId="188" shapeId="0" xr:uid="{19B0FC52-4C97-4501-B079-DB13F1255AA6}">
      <text>
        <t>[Threaded comment]
Your version of Excel allows you to read this threaded comment; however, any edits to it will get removed if the file is opened in a newer version of Excel. Learn more: https://go.microsoft.com/fwlink/?linkid=870924
Comment:
    Used to be ?
Then 1?</t>
      </text>
    </comment>
    <comment ref="S19" authorId="189" shapeId="0" xr:uid="{1A2B185C-474E-4EE3-8C76-6EB5BDADF343}">
      <text>
        <t>[Threaded comment]
Your version of Excel allows you to read this threaded comment; however, any edits to it will get removed if the file is opened in a newer version of Excel. Learn more: https://go.microsoft.com/fwlink/?linkid=870924
Comment:
    .16</t>
      </text>
    </comment>
    <comment ref="W19" authorId="190" shapeId="0" xr:uid="{84647485-0C7C-4EC9-A1AE-D05ADF8F035C}">
      <text>
        <t>[Threaded comment]
Your version of Excel allows you to read this threaded comment; however, any edits to it will get removed if the file is opened in a newer version of Excel. Learn more: https://go.microsoft.com/fwlink/?linkid=870924
Comment:
    .16</t>
      </text>
    </comment>
    <comment ref="Y19" authorId="191" shapeId="0" xr:uid="{27E1081C-01C0-4FEA-BC23-A81A31EC3949}">
      <text>
        <t>[Threaded comment]
Your version of Excel allows you to read this threaded comment; however, any edits to it will get removed if the file is opened in a newer version of Excel. Learn more: https://go.microsoft.com/fwlink/?linkid=870924
Comment:
    .52</t>
      </text>
    </comment>
    <comment ref="Z19" authorId="192" shapeId="0" xr:uid="{F68B5FA1-362A-4E54-A130-515D259B9711}">
      <text>
        <t>[Threaded comment]
Your version of Excel allows you to read this threaded comment; however, any edits to it will get removed if the file is opened in a newer version of Excel. Learn more: https://go.microsoft.com/fwlink/?linkid=870924
Comment:
    .52
Reply:
    I would say NO, since even the existence of the Dominant position was not proven (nor denied), but you first need to have a dominant position to be able to then abuse it.
Reply:
    Used to be No?</t>
      </text>
    </comment>
    <comment ref="AA19" authorId="193" shapeId="0" xr:uid="{2EC79503-17B2-4512-93E8-B465D93D0D0F}">
      <text>
        <t>[Threaded comment]
Your version of Excel allows you to read this threaded comment; however, any edits to it will get removed if the file is opened in a newer version of Excel. Learn more: https://go.microsoft.com/fwlink/?linkid=870924
Comment:
    .16
.52</t>
      </text>
    </comment>
    <comment ref="AB19" authorId="194" shapeId="0" xr:uid="{F2F14B71-C293-4393-A1B7-D416BE0126D0}">
      <text>
        <t>[Threaded comment]
Your version of Excel allows you to read this threaded comment; however, any edits to it will get removed if the file is opened in a newer version of Excel. Learn more: https://go.microsoft.com/fwlink/?linkid=870924
Comment:
    .52
Reply:
    Used to be No?</t>
      </text>
    </comment>
    <comment ref="AC19" authorId="195" shapeId="0" xr:uid="{831FC3AC-42FB-4B49-81A0-AE31D581F0B1}">
      <text>
        <t>[Threaded comment]
Your version of Excel allows you to read this threaded comment; however, any edits to it will get removed if the file is opened in a newer version of Excel. Learn more: https://go.microsoft.com/fwlink/?linkid=870924
Comment:
    .52
Reply:
    Used to be Yes?</t>
      </text>
    </comment>
    <comment ref="AD19" authorId="196" shapeId="0" xr:uid="{26CDE2E1-E6B2-4E68-B548-386A7B7DE3FC}">
      <text>
        <t>[Threaded comment]
Your version of Excel allows you to read this threaded comment; however, any edits to it will get removed if the file is opened in a newer version of Excel. Learn more: https://go.microsoft.com/fwlink/?linkid=870924
Comment:
    .52
Reply:
    Used to be Yes?</t>
      </text>
    </comment>
    <comment ref="AE19" authorId="197" shapeId="0" xr:uid="{880F786B-7EAF-4B1B-AAA0-4C9727DCF7D9}">
      <text>
        <t>[Threaded comment]
Your version of Excel allows you to read this threaded comment; however, any edits to it will get removed if the file is opened in a newer version of Excel. Learn more: https://go.microsoft.com/fwlink/?linkid=870924
Comment:
    .52
Reply:
    Used to be Yes?</t>
      </text>
    </comment>
    <comment ref="AF19" authorId="198" shapeId="0" xr:uid="{D52D5ABB-72BE-4E7B-B352-DB7306D1F530}">
      <text>
        <t>[Threaded comment]
Your version of Excel allows you to read this threaded comment; however, any edits to it will get removed if the file is opened in a newer version of Excel. Learn more: https://go.microsoft.com/fwlink/?linkid=870924
Comment:
    .29
.69-.72
Reply:
    Used to be Yes?</t>
      </text>
    </comment>
    <comment ref="AG19" authorId="199" shapeId="0" xr:uid="{A8183F7A-99DE-4456-9758-47D48BD26E8D}">
      <text>
        <t>[Threaded comment]
Your version of Excel allows you to read this threaded comment; however, any edits to it will get removed if the file is opened in a newer version of Excel. Learn more: https://go.microsoft.com/fwlink/?linkid=870924
Comment:
    .16</t>
      </text>
    </comment>
    <comment ref="AS19" authorId="200" shapeId="0" xr:uid="{8FD64248-DCB3-4BDA-833E-B693415E727E}">
      <text>
        <t>[Threaded comment]
Your version of Excel allows you to read this threaded comment; however, any edits to it will get removed if the file is opened in a newer version of Excel. Learn more: https://go.microsoft.com/fwlink/?linkid=870924
Comment:
    Darts</t>
      </text>
    </comment>
    <comment ref="S20" authorId="201" shapeId="0" xr:uid="{AFFC4ED9-F850-49A7-BF3B-0FA9019461FB}">
      <text>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text>
    </comment>
    <comment ref="W20" authorId="202" shapeId="0" xr:uid="{056420F8-0F73-4671-90DD-C0A9466FC70A}">
      <text>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text>
    </comment>
    <comment ref="Y20" authorId="203" shapeId="0" xr:uid="{500B0444-6357-4A8E-B404-BE0E5759F1BA}">
      <text>
        <t>[Threaded comment]
Your version of Excel allows you to read this threaded comment; however, any edits to it will get removed if the file is opened in a newer version of Excel. Learn more: https://go.microsoft.com/fwlink/?linkid=870924
Comment:
    Seite 46, a).</t>
      </text>
    </comment>
    <comment ref="Z20" authorId="204" shapeId="0" xr:uid="{16206882-9058-462A-9286-F3D146ABBB98}">
      <text>
        <t>[Threaded comment]
Your version of Excel allows you to read this threaded comment; however, any edits to it will get removed if the file is opened in a newer version of Excel. Learn more: https://go.microsoft.com/fwlink/?linkid=870924
Comment:
    Seite 54, (3).</t>
      </text>
    </comment>
    <comment ref="AA20" authorId="205" shapeId="0" xr:uid="{BD9E6925-7137-43CB-A15C-5B22E1DBC353}">
      <text>
        <t>[Threaded comment]
Your version of Excel allows you to read this threaded comment; however, any edits to it will get removed if the file is opened in a newer version of Excel. Learn more: https://go.microsoft.com/fwlink/?linkid=870924
Comment:
    Seite 5-6.
Seite 55, (7).</t>
      </text>
    </comment>
    <comment ref="AB20" authorId="206" shapeId="0" xr:uid="{0084B767-6D12-4D47-AC9D-3F7DD83562B5}">
      <text>
        <t>[Threaded comment]
Your version of Excel allows you to read this threaded comment; however, any edits to it will get removed if the file is opened in a newer version of Excel. Learn more: https://go.microsoft.com/fwlink/?linkid=870924
Comment:
    Seite 46, b).</t>
      </text>
    </comment>
    <comment ref="AC20" authorId="207" shapeId="0" xr:uid="{0D18337C-0FFA-464F-B30B-E3260AA6B2CB}">
      <text>
        <t>[Threaded comment]
Your version of Excel allows you to read this threaded comment; however, any edits to it will get removed if the file is opened in a newer version of Excel. Learn more: https://go.microsoft.com/fwlink/?linkid=870924
Comment:
    Seite 5-6.
Seite 55, (7).</t>
      </text>
    </comment>
    <comment ref="AF20" authorId="208" shapeId="0" xr:uid="{E9CA1FDF-8E5D-40ED-AED0-6F4305073905}">
      <text>
        <t>[Threaded comment]
Your version of Excel allows you to read this threaded comment; however, any edits to it will get removed if the file is opened in a newer version of Excel. Learn more: https://go.microsoft.com/fwlink/?linkid=870924
Comment:
    Seite 5.
Seite 6.</t>
      </text>
    </comment>
    <comment ref="AG20" authorId="209" shapeId="0" xr:uid="{AAA54E2F-A932-418E-9B92-8982AECBE12F}">
      <text>
        <t>[Threaded comment]
Your version of Excel allows you to read this threaded comment; however, any edits to it will get removed if the file is opened in a newer version of Excel. Learn more: https://go.microsoft.com/fwlink/?linkid=870924
Comment:
    Seite 56. e).
v
Seite 10.</t>
      </text>
    </comment>
    <comment ref="S21" authorId="210" shapeId="0" xr:uid="{979429CB-32CD-476B-88C3-73579DB49340}">
      <text>
        <t>[Threaded comment]
Your version of Excel allows you to read this threaded comment; however, any edits to it will get removed if the file is opened in a newer version of Excel. Learn more: https://go.microsoft.com/fwlink/?linkid=870924
Comment:
    Seite 5.</t>
      </text>
    </comment>
    <comment ref="W21" authorId="211" shapeId="0" xr:uid="{C9662E87-C039-4892-B7A1-2859C8C40AF8}">
      <text>
        <t>[Threaded comment]
Your version of Excel allows you to read this threaded comment; however, any edits to it will get removed if the file is opened in a newer version of Excel. Learn more: https://go.microsoft.com/fwlink/?linkid=870924
Comment:
    Seite 5.
29.02.2016 Seite 25, a).</t>
      </text>
    </comment>
    <comment ref="Y21" authorId="212" shapeId="0" xr:uid="{7FF25ACD-A27B-47C6-952D-3980AA430214}">
      <text>
        <t>[Threaded comment]
Your version of Excel allows you to read this threaded comment; however, any edits to it will get removed if the file is opened in a newer version of Excel. Learn more: https://go.microsoft.com/fwlink/?linkid=870924
Comment:
    Seite 23, 1. a).</t>
      </text>
    </comment>
    <comment ref="AA21" authorId="213" shapeId="0" xr:uid="{A581C339-6362-4FCE-82E7-B32D87DF082A}">
      <text>
        <t>[Threaded comment]
Your version of Excel allows you to read this threaded comment; however, any edits to it will get removed if the file is opened in a newer version of Excel. Learn more: https://go.microsoft.com/fwlink/?linkid=870924
Comment:
    Seite 25, a).</t>
      </text>
    </comment>
    <comment ref="AB21" authorId="214" shapeId="0" xr:uid="{A8E7AD45-6AA7-4984-B9CA-3E5965C483DE}">
      <text>
        <t>[Threaded comment]
Your version of Excel allows you to read this threaded comment; however, any edits to it will get removed if the file is opened in a newer version of Excel. Learn more: https://go.microsoft.com/fwlink/?linkid=870924
Comment:
    Seite 25, a).</t>
      </text>
    </comment>
    <comment ref="AC21" authorId="215" shapeId="0" xr:uid="{B4B34F8F-2CDB-45F7-BD8F-02D87C60FD00}">
      <text>
        <t>[Threaded comment]
Your version of Excel allows you to read this threaded comment; however, any edits to it will get removed if the file is opened in a newer version of Excel. Learn more: https://go.microsoft.com/fwlink/?linkid=870924
Comment:
    Seite 25, 2.
Seite 26, b).
Seite 26, c).</t>
      </text>
    </comment>
    <comment ref="AD21" authorId="216" shapeId="0" xr:uid="{E766B142-2AB6-4012-A9FF-F6EEA753AF16}">
      <text>
        <t>[Threaded comment]
Your version of Excel allows you to read this threaded comment; however, any edits to it will get removed if the file is opened in a newer version of Excel. Learn more: https://go.microsoft.com/fwlink/?linkid=870924
Comment:
    Seite 26, b).
Seite 26, c).
Reply:
    They identify a paragraph from the offer to be fair nor appropriate. That seems to be more formal than substantial.</t>
      </text>
    </comment>
    <comment ref="AE21" authorId="217" shapeId="0" xr:uid="{6DB0AABA-7550-408A-99E6-E5322A88B66C}">
      <text>
        <t>[Threaded comment]
Your version of Excel allows you to read this threaded comment; however, any edits to it will get removed if the file is opened in a newer version of Excel. Learn more: https://go.microsoft.com/fwlink/?linkid=870924
Comment:
    Seite 26, b).
Seite 26, c).
Reply:
    They identify a paragraph from the offer to be fair nor appropriate. That seems to be more formal than substantial.</t>
      </text>
    </comment>
    <comment ref="AG21" authorId="218" shapeId="0" xr:uid="{ACFEB4D1-F148-4F9C-8B60-7B1E5C9BFB9C}">
      <text>
        <t>[Threaded comment]
Your version of Excel allows you to read this threaded comment; however, any edits to it will get removed if the file is opened in a newer version of Excel. Learn more: https://go.microsoft.com/fwlink/?linkid=870924
Comment:
    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Reply:
    Used to be Yes?</t>
      </text>
    </comment>
    <comment ref="AN21" authorId="219" shapeId="0" xr:uid="{C2541FC7-0F22-483E-8AD9-B3F8EE01E0B7}">
      <text>
        <t>[Threaded comment]
Your version of Excel allows you to read this threaded comment; however, any edits to it will get removed if the file is opened in a newer version of Excel. Learn more: https://go.microsoft.com/fwlink/?linkid=870924
Comment:
    No winner</t>
      </text>
    </comment>
    <comment ref="AS21" authorId="220" shapeId="0" xr:uid="{9397DA02-1AC6-4D80-A6C7-766CBAB89214}">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S22" authorId="221" shapeId="0" xr:uid="{877167BD-7CAC-41EF-BB89-69DB66A58323}">
      <text>
        <t>[Threaded comment]
Your version of Excel allows you to read this threaded comment; however, any edits to it will get removed if the file is opened in a newer version of Excel. Learn more: https://go.microsoft.com/fwlink/?linkid=870924
Comment:
    6.</t>
      </text>
    </comment>
    <comment ref="W22" authorId="222" shapeId="0" xr:uid="{E23B6A74-E6BD-4001-8F60-187DBC3541E6}">
      <text>
        <t>[Threaded comment]
Your version of Excel allows you to read this threaded comment; however, any edits to it will get removed if the file is opened in a newer version of Excel. Learn more: https://go.microsoft.com/fwlink/?linkid=870924
Comment:
    6.</t>
      </text>
    </comment>
    <comment ref="Y22" authorId="223" shapeId="0" xr:uid="{8581FFEA-FDE5-488C-8EC6-E165493C91B8}">
      <text>
        <t>[Threaded comment]
Your version of Excel allows you to read this threaded comment; however, any edits to it will get removed if the file is opened in a newer version of Excel. Learn more: https://go.microsoft.com/fwlink/?linkid=870924
Comment:
    .82</t>
      </text>
    </comment>
    <comment ref="Z22" authorId="224" shapeId="0" xr:uid="{2DB563DE-5EBF-468E-8F2B-DACE4EF34415}">
      <text>
        <t>[Threaded comment]
Your version of Excel allows you to read this threaded comment; however, any edits to it will get removed if the file is opened in a newer version of Excel. Learn more: https://go.microsoft.com/fwlink/?linkid=870924
Comment:
    .82</t>
      </text>
    </comment>
    <comment ref="AA22" authorId="225" shapeId="0" xr:uid="{F19DDAA2-F68E-4E96-A256-0B286B89A4C1}">
      <text>
        <t>[Threaded comment]
Your version of Excel allows you to read this threaded comment; however, any edits to it will get removed if the file is opened in a newer version of Excel. Learn more: https://go.microsoft.com/fwlink/?linkid=870924
Comment:
    .6
v
.82</t>
      </text>
    </comment>
    <comment ref="AB22" authorId="226" shapeId="0" xr:uid="{A69AE4A1-8D75-4949-A118-7AD497CC5C91}">
      <text>
        <t>[Threaded comment]
Your version of Excel allows you to read this threaded comment; however, any edits to it will get removed if the file is opened in a newer version of Excel. Learn more: https://go.microsoft.com/fwlink/?linkid=870924
Comment:
    .87-.89</t>
      </text>
    </comment>
    <comment ref="AC22" authorId="227" shapeId="0" xr:uid="{08E9E524-0671-41BA-A32E-9C5A81270E17}">
      <text>
        <t>[Threaded comment]
Your version of Excel allows you to read this threaded comment; however, any edits to it will get removed if the file is opened in a newer version of Excel. Learn more: https://go.microsoft.com/fwlink/?linkid=870924
Comment:
    .82
.84
.85</t>
      </text>
    </comment>
    <comment ref="AD22" authorId="228" shapeId="0" xr:uid="{92C5D694-A3EB-4B91-AA09-6BAC4515540E}">
      <text>
        <t>[Threaded comment]
Your version of Excel allows you to read this threaded comment; however, any edits to it will get removed if the file is opened in a newer version of Excel. Learn more: https://go.microsoft.com/fwlink/?linkid=870924
Comment:
    .82
.84
.85
Reply:
    They discuss about multipliers and the fee asked, so I believe that is a content issue and not one of formality.
And since there is no comment on the timing and they move to the substance of the offer, that would mean that it was formally FRAND, or at least it was not NOT FRAND.
Reply:
    Lack of transparency and mention of blanket multipliers. Plaintiff does not meet the requirements for FRAND offer. Seems more a Non-Formal than Non-Substantial offer.</t>
      </text>
    </comment>
    <comment ref="AE22" authorId="229" shapeId="0" xr:uid="{75219E69-C385-4D12-BA9B-16893FFDDE2B}">
      <text>
        <t>[Threaded comment]
Your version of Excel allows you to read this threaded comment; however, any edits to it will get removed if the file is opened in a newer version of Excel. Learn more: https://go.microsoft.com/fwlink/?linkid=870924
Comment:
    .82
.84
.85</t>
      </text>
    </comment>
    <comment ref="AG22" authorId="230" shapeId="0" xr:uid="{6972D247-600A-40C0-8737-03AB375E7B7B}">
      <text>
        <t>[Threaded comment]
Your version of Excel allows you to read this threaded comment; however, any edits to it will get removed if the file is opened in a newer version of Excel. Learn more: https://go.microsoft.com/fwlink/?linkid=870924
Comment:
    .2
.6
.88</t>
      </text>
    </comment>
    <comment ref="AP22" authorId="231" shapeId="0" xr:uid="{437A1A92-38E7-4342-9366-8B2B575626D5}">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AS22" authorId="232" shapeId="0" xr:uid="{0C0AFF04-7244-41B6-80CC-9DF7B7FEBA2C}">
      <text>
        <t>[Threaded comment]
Your version of Excel allows you to read this threaded comment; however, any edits to it will get removed if the file is opened in a newer version of Excel. Learn more: https://go.microsoft.com/fwlink/?linkid=870924
Comment:
    Darts</t>
      </text>
    </comment>
    <comment ref="S23" authorId="233" shapeId="0" xr:uid="{1DC3EFA3-7094-4225-B29C-DE5C1CF004CF}">
      <text>
        <t>[Threaded comment]
Your version of Excel allows you to read this threaded comment; however, any edits to it will get removed if the file is opened in a newer version of Excel. Learn more: https://go.microsoft.com/fwlink/?linkid=870924
Comment:
    .6</t>
      </text>
    </comment>
    <comment ref="W23" authorId="234" shapeId="0" xr:uid="{CBC9E5F6-4610-4832-9AF5-2F1B3DE16937}">
      <text>
        <t>[Threaded comment]
Your version of Excel allows you to read this threaded comment; however, any edits to it will get removed if the file is opened in a newer version of Excel. Learn more: https://go.microsoft.com/fwlink/?linkid=870924
Comment:
    6.</t>
      </text>
    </comment>
    <comment ref="Y23" authorId="235" shapeId="0" xr:uid="{DB35E198-40AE-431D-B6E8-AF5113E67E10}">
      <text>
        <t>[Threaded comment]
Your version of Excel allows you to read this threaded comment; however, any edits to it will get removed if the file is opened in a newer version of Excel. Learn more: https://go.microsoft.com/fwlink/?linkid=870924
Comment:
    .115</t>
      </text>
    </comment>
    <comment ref="Z23" authorId="236" shapeId="0" xr:uid="{1C9D4FA8-D5BD-4C90-94C5-909565ACAA56}">
      <text>
        <t>[Threaded comment]
Your version of Excel allows you to read this threaded comment; however, any edits to it will get removed if the file is opened in a newer version of Excel. Learn more: https://go.microsoft.com/fwlink/?linkid=870924
Comment:
    .115</t>
      </text>
    </comment>
    <comment ref="AA23" authorId="237" shapeId="0" xr:uid="{BEB14303-BCE4-4B41-95FD-7496B98A4645}">
      <text>
        <t>[Threaded comment]
Your version of Excel allows you to read this threaded comment; however, any edits to it will get removed if the file is opened in a newer version of Excel. Learn more: https://go.microsoft.com/fwlink/?linkid=870924
Comment:
    .6
v
.115</t>
      </text>
    </comment>
    <comment ref="AB23" authorId="238" shapeId="0" xr:uid="{7DAF97B0-4092-4A36-8165-AC13B039CEBB}">
      <text>
        <t>[Threaded comment]
Your version of Excel allows you to read this threaded comment; however, any edits to it will get removed if the file is opened in a newer version of Excel. Learn more: https://go.microsoft.com/fwlink/?linkid=870924
Comment:
    .120-.121</t>
      </text>
    </comment>
    <comment ref="AC23" authorId="239" shapeId="0" xr:uid="{63CC0C4E-8748-4E92-B088-5B26C1920853}">
      <text>
        <t>[Threaded comment]
Your version of Excel allows you to read this threaded comment; however, any edits to it will get removed if the file is opened in a newer version of Excel. Learn more: https://go.microsoft.com/fwlink/?linkid=870924
Comment:
    .115
.117
.118</t>
      </text>
    </comment>
    <comment ref="AD23" authorId="240" shapeId="0" xr:uid="{BC5C6EC1-9F5D-46BE-B23B-58F726995896}">
      <text>
        <t>[Threaded comment]
Your version of Excel allows you to read this threaded comment; however, any edits to it will get removed if the file is opened in a newer version of Excel. Learn more: https://go.microsoft.com/fwlink/?linkid=870924
Comment:
    .115
.117
.118
Reply:
    They discuss about multipliers and the fee asked, so I believe that is a content issue and not one of formality.
And since there is no comment on the timing and they move to the substance of the offer, that would mean that it was formally FRAND, or at least it was not NOT FRAND.
Reply:
    Lack of transparency and mention of blanket multipliers. Plaintiff does not meet the requirements for FRAND offer. Seems more a Non-Formal than Non-Substantial offer.</t>
      </text>
    </comment>
    <comment ref="AE23" authorId="241" shapeId="0" xr:uid="{7019CFC9-E6B4-45EE-8823-67B69E3C31B7}">
      <text>
        <t>[Threaded comment]
Your version of Excel allows you to read this threaded comment; however, any edits to it will get removed if the file is opened in a newer version of Excel. Learn more: https://go.microsoft.com/fwlink/?linkid=870924
Comment:
    .115
.117
.118</t>
      </text>
    </comment>
    <comment ref="AG23" authorId="242" shapeId="0" xr:uid="{B16CBB56-9A44-44B8-A9F9-2A1AF47C0AB3}">
      <text>
        <t>[Threaded comment]
Your version of Excel allows you to read this threaded comment; however, any edits to it will get removed if the file is opened in a newer version of Excel. Learn more: https://go.microsoft.com/fwlink/?linkid=870924
Comment:
    .2
.6
.121</t>
      </text>
    </comment>
    <comment ref="S24" authorId="243" shapeId="0" xr:uid="{BF02811B-B8B9-4F5F-8F82-4625DD156433}">
      <text>
        <t>[Threaded comment]
Your version of Excel allows you to read this threaded comment; however, any edits to it will get removed if the file is opened in a newer version of Excel. Learn more: https://go.microsoft.com/fwlink/?linkid=870924
Comment:
    Seite 5.</t>
      </text>
    </comment>
    <comment ref="W24" authorId="244" shapeId="0" xr:uid="{F2A8F871-1FF8-4FE7-8E7D-E4566BF8D3ED}">
      <text>
        <t>[Threaded comment]
Your version of Excel allows you to read this threaded comment; however, any edits to it will get removed if the file is opened in a newer version of Excel. Learn more: https://go.microsoft.com/fwlink/?linkid=870924
Comment:
    Seite 5.</t>
      </text>
    </comment>
    <comment ref="Y24" authorId="245" shapeId="0" xr:uid="{08678D9E-B56F-45CB-816F-F0CE907B80DB}">
      <text>
        <t>[Threaded comment]
Your version of Excel allows you to read this threaded comment; however, any edits to it will get removed if the file is opened in a newer version of Excel. Learn more: https://go.microsoft.com/fwlink/?linkid=870924
Comment:
    Seite 19, 1.</t>
      </text>
    </comment>
    <comment ref="Z24" authorId="246" shapeId="0" xr:uid="{B27D5B05-884A-425B-B2D8-DBB496F6FF65}">
      <text>
        <t>[Threaded comment]
Your version of Excel allows you to read this threaded comment; however, any edits to it will get removed if the file is opened in a newer version of Excel. Learn more: https://go.microsoft.com/fwlink/?linkid=870924
Comment:
    Seite 19, 2.
Reply:
    Used to be Yes?</t>
      </text>
    </comment>
    <comment ref="AA24" authorId="247" shapeId="0" xr:uid="{B466C1B6-420E-43CD-A903-715CFED0B505}">
      <text>
        <t xml:space="preserve">[Threaded comment]
Your version of Excel allows you to read this threaded comment; however, any edits to it will get removed if the file is opened in a newer version of Excel. Learn more: https://go.microsoft.com/fwlink/?linkid=870924
Comment:
    Seite 25.
Reply:
    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
      </text>
    </comment>
    <comment ref="AB24" authorId="248" shapeId="0" xr:uid="{A52E4642-6F92-4FDF-B713-D302DD51685D}">
      <text>
        <t>[Threaded comment]
Your version of Excel allows you to read this threaded comment; however, any edits to it will get removed if the file is opened in a newer version of Excel. Learn more: https://go.microsoft.com/fwlink/?linkid=870924
Comment:
    Seite 24, bb).
Seite 25</t>
      </text>
    </comment>
    <comment ref="AC24" authorId="249" shapeId="0" xr:uid="{37899348-D9BC-411F-891A-F0A5B1B40C14}">
      <text>
        <t xml:space="preserve">[Threaded comment]
Your version of Excel allows you to read this threaded comment; however, any edits to it will get removed if the file is opened in a newer version of Excel. Learn more: https://go.microsoft.com/fwlink/?linkid=870924
Comment:
    No?
Seite 19, 2.
Reply:
    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D24" authorId="250" shapeId="0" xr:uid="{F8446CDB-710B-4AF1-BF54-4916C2B9DCA7}">
      <text>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E24" authorId="251" shapeId="0" xr:uid="{04B44218-2295-4D08-8EAD-214D27630DFB}">
      <text>
        <t xml:space="preserve">[Threaded comment]
Your version of Excel allows you to read this threaded comment; however, any edits to it will get removed if the file is opened in a newer version of Excel. Learn more: https://go.microsoft.com/fwlink/?linkid=870924
Comment:
    Seite 25.
Reply: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
      </text>
    </comment>
    <comment ref="AG24" authorId="252" shapeId="0" xr:uid="{81BA32FF-08AF-46DA-9724-E7573ED245C4}">
      <text>
        <t>[Threaded comment]
Your version of Excel allows you to read this threaded comment; however, any edits to it will get removed if the file is opened in a newer version of Excel. Learn more: https://go.microsoft.com/fwlink/?linkid=870924
Comment:
    Seite 4.
Seite 5.</t>
      </text>
    </comment>
    <comment ref="AS24" authorId="253" shapeId="0" xr:uid="{68322D8E-74BE-4B99-8122-C50EC680694E}">
      <text>
        <t>[Threaded comment]
Your version of Excel allows you to read this threaded comment; however, any edits to it will get removed if the file is opened in a newer version of Excel. Learn more: https://go.microsoft.com/fwlink/?linkid=870924
Comment:
    Darts</t>
      </text>
    </comment>
    <comment ref="D25" authorId="254" shapeId="0" xr:uid="{68F1E1F8-B1BE-4E30-9F9C-5DF5D229F2C8}">
      <text>
        <t>[Threaded comment]
Your version of Excel allows you to read this threaded comment; however, any edits to it will get removed if the file is opened in a newer version of Excel. Learn more: https://go.microsoft.com/fwlink/?linkid=870924
Comment:
    _Kather</t>
      </text>
    </comment>
    <comment ref="E25" authorId="255" shapeId="0" xr:uid="{2A0A09D6-74E4-4B75-9468-8D6CFC5AA9DB}">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S25" authorId="256" shapeId="0" xr:uid="{753E906D-DA6A-4715-BE87-B48D0658B120}">
      <text>
        <t>[Threaded comment]
Your version of Excel allows you to read this threaded comment; however, any edits to it will get removed if the file is opened in a newer version of Excel. Learn more: https://go.microsoft.com/fwlink/?linkid=870924
Comment:
    Seite 8.</t>
      </text>
    </comment>
    <comment ref="W25" authorId="257" shapeId="0" xr:uid="{ECE222F2-FEA0-4D09-BB87-6353FAE3F855}">
      <text>
        <t>[Threaded comment]
Your version of Excel allows you to read this threaded comment; however, any edits to it will get removed if the file is opened in a newer version of Excel. Learn more: https://go.microsoft.com/fwlink/?linkid=870924
Comment:
    Seite 8.</t>
      </text>
    </comment>
    <comment ref="Y25" authorId="258" shapeId="0" xr:uid="{97FFB6EF-A401-4E81-BF9B-16DF9C5CF5DB}">
      <text>
        <t>[Threaded comment]
Your version of Excel allows you to read this threaded comment; however, any edits to it will get removed if the file is opened in a newer version of Excel. Learn more: https://go.microsoft.com/fwlink/?linkid=870924
Comment:
    Seite 36,  B.
Seite 39, III.
Seite 43, 3.</t>
      </text>
    </comment>
    <comment ref="Z25" authorId="259" shapeId="0" xr:uid="{C80100D7-74F4-46F1-8CD7-F5BE556F0AAD}">
      <text>
        <t>[Threaded comment]
Your version of Excel allows you to read this threaded comment; however, any edits to it will get removed if the file is opened in a newer version of Excel. Learn more: https://go.microsoft.com/fwlink/?linkid=870924
Comment:
    Seite 36,  B.
Seite 39, III.</t>
      </text>
    </comment>
    <comment ref="AA25" authorId="260" shapeId="0" xr:uid="{97615FE6-6644-4A44-889E-E5734C339E89}">
      <text>
        <t>[Threaded comment]
Your version of Excel allows you to read this threaded comment; however, any edits to it will get removed if the file is opened in a newer version of Excel. Learn more: https://go.microsoft.com/fwlink/?linkid=870924
Comment:
    Seite 39, III.
Seite 39, III. 1.</t>
      </text>
    </comment>
    <comment ref="AB25" authorId="261" shapeId="0" xr:uid="{596AA57F-A0D1-453C-826B-B210F61BB233}">
      <text>
        <t>[Threaded comment]
Your version of Excel allows you to read this threaded comment; however, any edits to it will get removed if the file is opened in a newer version of Excel. Learn more: https://go.microsoft.com/fwlink/?linkid=870924
Comment:
    Seite 39, III.
Seite 40, 2.</t>
      </text>
    </comment>
    <comment ref="AC25" authorId="262" shapeId="0" xr:uid="{07935794-0C72-4175-B385-6F99CFA3C573}">
      <text>
        <t>[Threaded comment]
Your version of Excel allows you to read this threaded comment; however, any edits to it will get removed if the file is opened in a newer version of Excel. Learn more: https://go.microsoft.com/fwlink/?linkid=870924
Comment:
    Seite 36,  B.
Seite 39, III.
Seite 43, 3.
Seite 49, d).</t>
      </text>
    </comment>
    <comment ref="AD25" authorId="263" shapeId="0" xr:uid="{E9D4C900-9CD9-47DD-8602-4BD62D3FE493}">
      <text>
        <t>[Threaded comment]
Your version of Excel allows you to read this threaded comment; however, any edits to it will get removed if the file is opened in a newer version of Excel. Learn more: https://go.microsoft.com/fwlink/?linkid=870924
Comment:
    Seite 39, III.
Seite 39, III. 3.
Seite 49, d).
Reply:
    I found reasons for the content, but no mention of formal reasons to not treat is as a FRAND offer. Apparently the offer is not considered to be delayed.
Reply:
    Mention that the offer of the plaintiff does not meet the FRAND criteria, which makes me believe it is more of a Non-Formal rather than a Non-Substantial.
Reply:
    Used to be No?</t>
      </text>
    </comment>
    <comment ref="AE25" authorId="264" shapeId="0" xr:uid="{31C5E17B-C3EF-4E97-8F5D-E39FA746E084}">
      <text>
        <t>[Threaded comment]
Your version of Excel allows you to read this threaded comment; however, any edits to it will get removed if the file is opened in a newer version of Excel. Learn more: https://go.microsoft.com/fwlink/?linkid=870924
Comment:
    Seite 50-52.
Reply:
    Some mention of the criteria: Top-Down approach.
Apparently the fees are too high.
Reply:
    Used to be No?</t>
      </text>
    </comment>
    <comment ref="AG25" authorId="265" shapeId="0" xr:uid="{B115F07B-1A0A-4A56-B3EE-14BB59A9FDEA}">
      <text>
        <t>[Threaded comment]
Your version of Excel allows you to read this threaded comment; however, any edits to it will get removed if the file is opened in a newer version of Excel. Learn more: https://go.microsoft.com/fwlink/?linkid=870924
Comment:
    Seite 8.</t>
      </text>
    </comment>
    <comment ref="AS25" authorId="266" shapeId="0" xr:uid="{429854C5-7B0C-4B4B-A71B-14B4050D0F0B}">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E26" authorId="267" shapeId="0" xr:uid="{43666DED-7531-43D4-8AC6-6CF8906CB373}">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S26" authorId="268" shapeId="0" xr:uid="{2BE178FA-B8AF-46D3-A634-779DD04F17B8}">
      <text>
        <t>[Threaded comment]
Your version of Excel allows you to read this threaded comment; however, any edits to it will get removed if the file is opened in a newer version of Excel. Learn more: https://go.microsoft.com/fwlink/?linkid=870924
Comment:
    Seite 4, 1.
two dates for contacts
29.03.2016 
06.03.2018</t>
      </text>
    </comment>
    <comment ref="W26" authorId="269" shapeId="0" xr:uid="{F805A726-D6B7-4204-B780-CDE6696E6BB0}">
      <text>
        <t>[Threaded comment]
Your version of Excel allows you to read this threaded comment; however, any edits to it will get removed if the file is opened in a newer version of Excel. Learn more: https://go.microsoft.com/fwlink/?linkid=870924
Comment:
    Seite 4, 1.
No mention of the date of the offer, two dates for contacts
29.03.2016 
06.03.2018</t>
      </text>
    </comment>
    <comment ref="Y26" authorId="270" shapeId="0" xr:uid="{6548FB9E-BDDE-446B-9DD5-C2081CA60D68}">
      <text>
        <t>[Threaded comment]
Your version of Excel allows you to read this threaded comment; however, any edits to it will get removed if the file is opened in a newer version of Excel. Learn more: https://go.microsoft.com/fwlink/?linkid=870924
Comment:
    Justus</t>
      </text>
    </comment>
    <comment ref="Z26" authorId="271" shapeId="0" xr:uid="{30F86032-25DB-44FD-BFC7-43E37815DED8}">
      <text>
        <t>[Threaded comment]
Your version of Excel allows you to read this threaded comment; however, any edits to it will get removed if the file is opened in a newer version of Excel. Learn more: https://go.microsoft.com/fwlink/?linkid=870924
Comment:
    Justus</t>
      </text>
    </comment>
    <comment ref="AA26" authorId="272" shapeId="0" xr:uid="{643659E2-4C6F-4DCE-A11A-65C6C5543C61}">
      <text>
        <t>[Threaded comment]
Your version of Excel allows you to read this threaded comment; however, any edits to it will get removed if the file is opened in a newer version of Excel. Learn more: https://go.microsoft.com/fwlink/?linkid=870924
Comment:
    Justus</t>
      </text>
    </comment>
    <comment ref="AB26" authorId="273" shapeId="0" xr:uid="{BC3021EB-84B2-4B2C-9E11-9BBE6E9852BA}">
      <text>
        <t>[Threaded comment]
Your version of Excel allows you to read this threaded comment; however, any edits to it will get removed if the file is opened in a newer version of Excel. Learn more: https://go.microsoft.com/fwlink/?linkid=870924
Comment:
    Justus</t>
      </text>
    </comment>
    <comment ref="AC26" authorId="274" shapeId="0" xr:uid="{28EE8380-3487-44F8-8201-A801300D3C24}">
      <text>
        <t>[Threaded comment]
Your version of Excel allows you to read this threaded comment; however, any edits to it will get removed if the file is opened in a newer version of Excel. Learn more: https://go.microsoft.com/fwlink/?linkid=870924
Comment:
    Justus</t>
      </text>
    </comment>
    <comment ref="AD26" authorId="275" shapeId="0" xr:uid="{F5F8CDD5-AED7-461E-AA64-7940E4653A28}">
      <text>
        <t>[Threaded comment]
Your version of Excel allows you to read this threaded comment; however, any edits to it will get removed if the file is opened in a newer version of Excel. Learn more: https://go.microsoft.com/fwlink/?linkid=870924
Comment:
    Justus</t>
      </text>
    </comment>
    <comment ref="AE26" authorId="276" shapeId="0" xr:uid="{0AF583BC-EB75-4ADB-9290-46A033ECE4FF}">
      <text>
        <t>[Threaded comment]
Your version of Excel allows you to read this threaded comment; however, any edits to it will get removed if the file is opened in a newer version of Excel. Learn more: https://go.microsoft.com/fwlink/?linkid=870924
Comment:
    Justus</t>
      </text>
    </comment>
    <comment ref="AF26" authorId="277" shapeId="0" xr:uid="{27933688-529F-4963-A2F6-1183B0514040}">
      <text>
        <t>[Threaded comment]
Your version of Excel allows you to read this threaded comment; however, any edits to it will get removed if the file is opened in a newer version of Excel. Learn more: https://go.microsoft.com/fwlink/?linkid=870924
Comment:
    Justus</t>
      </text>
    </comment>
    <comment ref="AG26" authorId="278" shapeId="0" xr:uid="{D17E918F-54F0-4A2F-950C-E49C751057EB}">
      <text>
        <t>[Threaded comment]
Your version of Excel allows you to read this threaded comment; however, any edits to it will get removed if the file is opened in a newer version of Excel. Learn more: https://go.microsoft.com/fwlink/?linkid=870924
Comment:
    Justus</t>
      </text>
    </comment>
    <comment ref="S27" authorId="279" shapeId="0" xr:uid="{70AE830D-9037-4E5A-9CBD-A0BF45D5A1A8}">
      <text>
        <t>[Threaded comment]
Your version of Excel allows you to read this threaded comment; however, any edits to it will get removed if the file is opened in a newer version of Excel. Learn more: https://go.microsoft.com/fwlink/?linkid=870924
Comment:
    Seite 14.
Seite 47, II. 1.
Seite 48, b).</t>
      </text>
    </comment>
    <comment ref="W27" authorId="280" shapeId="0" xr:uid="{E7462449-A2B1-43B4-A6C1-F01CFE2E8B45}">
      <text>
        <t>[Threaded comment]
Your version of Excel allows you to read this threaded comment; however, any edits to it will get removed if the file is opened in a newer version of Excel. Learn more: https://go.microsoft.com/fwlink/?linkid=870924
Comment:
    Seite 14.</t>
      </text>
    </comment>
    <comment ref="Y27" authorId="281" shapeId="0" xr:uid="{332B5C43-FCA3-4AF6-9803-E77C75835B63}">
      <text>
        <t>[Threaded comment]
Your version of Excel allows you to read this threaded comment; however, any edits to it will get removed if the file is opened in a newer version of Excel. Learn more: https://go.microsoft.com/fwlink/?linkid=870924
Comment:
    Seite 47, II.</t>
      </text>
    </comment>
    <comment ref="Z27" authorId="282" shapeId="0" xr:uid="{7C793561-349D-48EB-99BC-876ABD0CFAAA}">
      <text>
        <t>[Threaded comment]
Your version of Excel allows you to read this threaded comment; however, any edits to it will get removed if the file is opened in a newer version of Excel. Learn more: https://go.microsoft.com/fwlink/?linkid=870924
Comment:
    Seite 47, II.
Reply:
    I would say NO, since even the existence of the Dominant position was not proven (nor denied), but you first need to have a dominant position to be able to then abuse it.
Reply:
    Used to be No?</t>
      </text>
    </comment>
    <comment ref="AA27" authorId="283" shapeId="0" xr:uid="{E10BCF7F-90BE-4B32-839D-92C18BA57CDE}">
      <text>
        <t>[Threaded comment]
Your version of Excel allows you to read this threaded comment; however, any edits to it will get removed if the file is opened in a newer version of Excel. Learn more: https://go.microsoft.com/fwlink/?linkid=870924
Comment:
    Seite 47, II. 1.</t>
      </text>
    </comment>
    <comment ref="AB27" authorId="284" shapeId="0" xr:uid="{33FD4864-4026-44AB-800D-0A7060724B91}">
      <text>
        <t>[Threaded comment]
Your version of Excel allows you to read this threaded comment; however, any edits to it will get removed if the file is opened in a newer version of Excel. Learn more: https://go.microsoft.com/fwlink/?linkid=870924
Comment:
    Seite 47, II.</t>
      </text>
    </comment>
    <comment ref="AC27" authorId="285" shapeId="0" xr:uid="{B7101FB9-380A-40BD-B9B9-C3819D1BC23D}">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D27" authorId="286" shapeId="0" xr:uid="{72496DA0-D770-48F7-B134-3A2D20F18DF8}">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E27" authorId="287" shapeId="0" xr:uid="{8F601B0D-AD37-4508-9DD2-ACAE8C2E95DC}">
      <text>
        <t>[Threaded comment]
Your version of Excel allows you to read this threaded comment; however, any edits to it will get removed if the file is opened in a newer version of Excel. Learn more: https://go.microsoft.com/fwlink/?linkid=870924
Comment:
    Could be that it was not cover because of the unwillingness (or lack of willingness to license) on the defendant side?</t>
      </text>
    </comment>
    <comment ref="AF27" authorId="288" shapeId="0" xr:uid="{FA452729-21F2-4D3F-9C9C-AC8D8066EC54}">
      <text>
        <t>[Threaded comment]
Your version of Excel allows you to read this threaded comment; however, any edits to it will get removed if the file is opened in a newer version of Excel. Learn more: https://go.microsoft.com/fwlink/?linkid=870924
Comment:
    Seite 15.</t>
      </text>
    </comment>
    <comment ref="AG27" authorId="289" shapeId="0" xr:uid="{79FE8500-6511-4BC3-B801-8D72D0A0619B}">
      <text>
        <t>[Threaded comment]
Your version of Excel allows you to read this threaded comment; however, any edits to it will get removed if the file is opened in a newer version of Excel. Learn more: https://go.microsoft.com/fwlink/?linkid=870924
Comment:
    Seite 7.
Seite 15.
Reply:
    Used to be Yes?</t>
      </text>
    </comment>
    <comment ref="AJ27" authorId="290" shapeId="0" xr:uid="{CB444B42-B704-41CC-B358-3C2998F1B36D}">
      <text>
        <t>[Threaded comment]
Your version of Excel allows you to read this threaded comment; however, any edits to it will get removed if the file is opened in a newer version of Excel. Learn more: https://go.microsoft.com/fwlink/?linkid=870924
Comment:
    Apparently, upheld (same winners and losers)</t>
      </text>
    </comment>
    <comment ref="AS27" authorId="291" shapeId="0" xr:uid="{CD7BD07C-5F8C-4AD2-93C8-4A7F40C84374}">
      <text>
        <t>[Threaded comment]
Your version of Excel allows you to read this threaded comment; however, any edits to it will get removed if the file is opened in a newer version of Excel. Learn more: https://go.microsoft.com/fwlink/?linkid=870924
Comment:
    Darts</t>
      </text>
    </comment>
    <comment ref="N28" authorId="292" shapeId="0" xr:uid="{5DE5FFF7-4B4A-4F06-8FEE-D2EA893C3F86}">
      <text>
        <t>[Threaded comment]
Your version of Excel allows you to read this threaded comment; however, any edits to it will get removed if the file is opened in a newer version of Excel. Learn more: https://go.microsoft.com/fwlink/?linkid=870924
Comment:
    09.09.2021</t>
      </text>
    </comment>
    <comment ref="S28" authorId="293" shapeId="0" xr:uid="{DD313215-8F23-4B49-BB04-A9F01CFE46D5}">
      <text>
        <t>[Threaded comment]
Your version of Excel allows you to read this threaded comment; however, any edits to it will get removed if the file is opened in a newer version of Excel. Learn more: https://go.microsoft.com/fwlink/?linkid=870924
Comment:
    .113-.115</t>
      </text>
    </comment>
    <comment ref="W28" authorId="294" shapeId="0" xr:uid="{2C23597A-C1C3-4B8E-8BC7-5F2B10698D17}">
      <text>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
Reply:
    15.
Mentions an offer from 25.10.2019.</t>
      </text>
    </comment>
    <comment ref="Y28" authorId="295" shapeId="0" xr:uid="{173AD7E3-37D9-4723-808B-4AFB294DB41A}">
      <text>
        <t>[Threaded comment]
Your version of Excel allows you to read this threaded comment; however, any edits to it will get removed if the file is opened in a newer version of Excel. Learn more: https://go.microsoft.com/fwlink/?linkid=870924
Comment:
    .109</t>
      </text>
    </comment>
    <comment ref="Z28" authorId="296" shapeId="0" xr:uid="{8BD9A6CB-D0DD-4195-8AC8-F5279250D84E}">
      <text>
        <t>[Threaded comment]
Your version of Excel allows you to read this threaded comment; however, any edits to it will get removed if the file is opened in a newer version of Excel. Learn more: https://go.microsoft.com/fwlink/?linkid=870924
Comment:
    .108
.109</t>
      </text>
    </comment>
    <comment ref="AA28" authorId="297" shapeId="0" xr:uid="{B3C0DF3B-BBD5-45DD-A8D1-D4AD34BDB990}">
      <text>
        <t>[Threaded comment]
Your version of Excel allows you to read this threaded comment; however, any edits to it will get removed if the file is opened in a newer version of Excel. Learn more: https://go.microsoft.com/fwlink/?linkid=870924
Comment:
    .113-.115
.120</t>
      </text>
    </comment>
    <comment ref="AB28" authorId="298" shapeId="0" xr:uid="{AA68C7F0-E46C-476C-9045-C2D561D11488}">
      <text>
        <t>[Threaded comment]
Your version of Excel allows you to read this threaded comment; however, any edits to it will get removed if the file is opened in a newer version of Excel. Learn more: https://go.microsoft.com/fwlink/?linkid=870924
Comment:
    .93
.122
.126
.129
.133
.147
.158</t>
      </text>
    </comment>
    <comment ref="AC28" authorId="299" shapeId="0" xr:uid="{26189A36-12CF-40B8-833B-EE9BD884D1ED}">
      <text>
        <t>[Threaded comment]
Your version of Excel allows you to read this threaded comment; however, any edits to it will get removed if the file is opened in a newer version of Excel. Learn more: https://go.microsoft.com/fwlink/?linkid=870924
Comment:
    .140-.141
Here they speak about a counteroffer, but repeat the unwillingness of the defendant.
I think they do not go over whether the offers were FRAND because fo the unwillingness of the defendant.
Reply:
    .152
They compare the counteroffer to the offer, so apparently they did study it, but did not state clearly if it was FRAND or not.
Reply:
    .123</t>
      </text>
    </comment>
    <comment ref="AD28" authorId="300" shapeId="0" xr:uid="{6EA72CE3-6593-4A47-9042-2E4319A3D811}">
      <text>
        <t>[Threaded comment]
Your version of Excel allows you to read this threaded comment; however, any edits to it will get removed if the file is opened in a newer version of Excel. Learn more: https://go.microsoft.com/fwlink/?linkid=870924
Comment:
    .123</t>
      </text>
    </comment>
    <comment ref="AE28" authorId="301" shapeId="0" xr:uid="{0922E0C7-44B8-4FB6-98F8-32EFC834B933}">
      <text>
        <t>[Threaded comment]
Your version of Excel allows you to read this threaded comment; however, any edits to it will get removed if the file is opened in a newer version of Excel. Learn more: https://go.microsoft.com/fwlink/?linkid=870924
Comment:
    .123</t>
      </text>
    </comment>
    <comment ref="AG28" authorId="302" shapeId="0" xr:uid="{BA9EDA50-01A9-4C3C-B886-E8F68DF74FEF}">
      <text>
        <t>[Threaded comment]
Your version of Excel allows you to read this threaded comment; however, any edits to it will get removed if the file is opened in a newer version of Excel. Learn more: https://go.microsoft.com/fwlink/?linkid=870924
Comment:
    There are talks about the defendant's products in Germany.</t>
      </text>
    </comment>
    <comment ref="AP28" authorId="303" shapeId="0" xr:uid="{8C2034B7-AD78-48EE-9321-8DC291F96A6F}">
      <text>
        <t>[Threaded comment]
Your version of Excel allows you to read this threaded comment; however, any edits to it will get removed if the file is opened in a newer version of Excel. Learn more: https://go.microsoft.com/fwlink/?linkid=870924
Comment:
    They specify some claims (1-4, 7-9, 10-17)</t>
      </text>
    </comment>
    <comment ref="AS28" authorId="304" shapeId="0" xr:uid="{C95E86EF-7415-4AB0-8E64-E742A29AF738}">
      <text>
        <t>[Threaded comment]
Your version of Excel allows you to read this threaded comment; however, any edits to it will get removed if the file is opened in a newer version of Excel. Learn more: https://go.microsoft.com/fwlink/?linkid=870924
Comment:
    Darts</t>
      </text>
    </comment>
    <comment ref="Y29" authorId="305" shapeId="0" xr:uid="{761A5474-9529-4236-8FCE-08CECFEA3CB2}">
      <text>
        <t>[Threaded comment]
Your version of Excel allows you to read this threaded comment; however, any edits to it will get removed if the file is opened in a newer version of Excel. Learn more: https://go.microsoft.com/fwlink/?linkid=870924
Comment:
    Page 7, B.</t>
      </text>
    </comment>
    <comment ref="Z29" authorId="306" shapeId="0" xr:uid="{604B89DE-D753-46CA-B15A-EFBB343C1CA8}">
      <text>
        <t>[Threaded comment]
Your version of Excel allows you to read this threaded comment; however, any edits to it will get removed if the file is opened in a newer version of Excel. Learn more: https://go.microsoft.com/fwlink/?linkid=870924
Comment:
    Page 7, B.
Page 8, II.</t>
      </text>
    </comment>
    <comment ref="AA29" authorId="307" shapeId="0" xr:uid="{4E83A58E-4D09-43D6-85CD-85E9F612A6BF}">
      <text>
        <t>[Threaded comment]
Your version of Excel allows you to read this threaded comment; however, any edits to it will get removed if the file is opened in a newer version of Excel. Learn more: https://go.microsoft.com/fwlink/?linkid=870924
Comment:
    Page 7, B.</t>
      </text>
    </comment>
    <comment ref="AB29" authorId="308" shapeId="0" xr:uid="{C5F91382-A51D-48B9-88F4-AA5F43346683}">
      <text>
        <t>[Threaded comment]
Your version of Excel allows you to read this threaded comment; however, any edits to it will get removed if the file is opened in a newer version of Excel. Learn more: https://go.microsoft.com/fwlink/?linkid=870924
Comment:
    Page 7, B.
Page 8, II.
Page 11, 2.</t>
      </text>
    </comment>
    <comment ref="AG29" authorId="309" shapeId="0" xr:uid="{50F8D0FE-530F-4418-8D6E-42E6CA49A793}">
      <text>
        <t>[Threaded comment]
Your version of Excel allows you to read this threaded comment; however, any edits to it will get removed if the file is opened in a newer version of Excel. Learn more: https://go.microsoft.com/fwlink/?linkid=870924
Comment:
    Plaintiff is a global leader in mobile communications.
Page 3</t>
      </text>
    </comment>
    <comment ref="AJ29" authorId="310" shapeId="0" xr:uid="{0C85D065-B681-4CB4-9BD0-4663A42F9A51}">
      <text>
        <t>[Threaded comment]
Your version of Excel allows you to read this threaded comment; however, any edits to it will get removed if the file is opened in a newer version of Excel. Learn more: https://go.microsoft.com/fwlink/?linkid=870924
Comment:
    Not provided by Darts, interpretation.
Der Antrag der Beklagten, die Zwangsvollstreckung aus dem Urteil des Landgerichts Mannheim vom 5. Juli 
2022, Az. 2 O 75/21, einstweilen einzustellen, wird zurückgewiesen.</t>
      </text>
    </comment>
    <comment ref="AS29" authorId="311" shapeId="0" xr:uid="{05DC0EA7-B36D-45E0-9648-332CDB72B5AB}">
      <text>
        <t>[Threaded comment]
Your version of Excel allows you to read this threaded comment; however, any edits to it will get removed if the file is opened in a newer version of Excel. Learn more: https://go.microsoft.com/fwlink/?linkid=870924
Comment:
    Darts</t>
      </text>
    </comment>
    <comment ref="E30" authorId="312" shapeId="0" xr:uid="{93FB65F1-A8AE-425C-A319-A07985C516A0}">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S30" authorId="313" shapeId="0" xr:uid="{5C3C4CB6-8457-4DD2-AAC6-3CCDF6053A4F}">
      <text>
        <t>[Threaded comment]
Your version of Excel allows you to read this threaded comment; however, any edits to it will get removed if the file is opened in a newer version of Excel. Learn more: https://go.microsoft.com/fwlink/?linkid=870924
Comment:
    Seite 4-5.
Not actually on the 01 of November, just says November 2013.</t>
      </text>
    </comment>
    <comment ref="W30" authorId="314" shapeId="0" xr:uid="{F8457BBB-0BAE-41FA-BA0A-A9848E7C8FE2}">
      <text>
        <t>[Threaded comment]
Your version of Excel allows you to read this threaded comment; however, any edits to it will get removed if the file is opened in a newer version of Excel. Learn more: https://go.microsoft.com/fwlink/?linkid=870924
Comment:
    Seite 4-5.
Not actually on the 01 of November, just says November 2013.
The date of the E-mail offer is REDACTED, but it is mentioned following the contact of November  from 2013.</t>
      </text>
    </comment>
    <comment ref="Y30" authorId="315" shapeId="0" xr:uid="{7C342666-B26B-403C-9977-CBBED95EBDF2}">
      <text>
        <t>[Threaded comment]
Your version of Excel allows you to read this threaded comment; however, any edits to it will get removed if the file is opened in a newer version of Excel. Learn more: https://go.microsoft.com/fwlink/?linkid=870924
Comment:
    Seite 23, 1.</t>
      </text>
    </comment>
    <comment ref="Z30" authorId="316" shapeId="0" xr:uid="{705FF9C5-01E1-4547-8F24-431292BB224A}">
      <text>
        <t>[Threaded comment]
Your version of Excel allows you to read this threaded comment; however, any edits to it will get removed if the file is opened in a newer version of Excel. Learn more: https://go.microsoft.com/fwlink/?linkid=870924
Comment:
    Seite 23, 2.</t>
      </text>
    </comment>
    <comment ref="AA30" authorId="317" shapeId="0" xr:uid="{5F39CE75-7B02-4C59-8B87-A6FA5F129528}">
      <text>
        <t>[Threaded comment]
Your version of Excel allows you to read this threaded comment; however, any edits to it will get removed if the file is opened in a newer version of Excel. Learn more: https://go.microsoft.com/fwlink/?linkid=870924
Comment:
    Seite 26, aa)</t>
      </text>
    </comment>
    <comment ref="AB30" authorId="318" shapeId="0" xr:uid="{E9EA7940-9E67-4AD4-906F-2218E7397FCF}">
      <text>
        <t>[Threaded comment]
Your version of Excel allows you to read this threaded comment; however, any edits to it will get removed if the file is opened in a newer version of Excel. Learn more: https://go.microsoft.com/fwlink/?linkid=870924
Comment:
    Seite 28, cc)</t>
      </text>
    </comment>
    <comment ref="AC30" authorId="319" shapeId="0" xr:uid="{BFD397D0-4817-4B00-B656-9A5B7DDA32ED}">
      <text>
        <t>[Threaded comment]
Your version of Excel allows you to read this threaded comment; however, any edits to it will get removed if the file is opened in a newer version of Excel. Learn more: https://go.microsoft.com/fwlink/?linkid=870924
Comment:
    Seite 23, 2.
Seite 24, aa)
Seite 26, aa)
Seite 28, cc)</t>
      </text>
    </comment>
    <comment ref="AD30" authorId="320" shapeId="0" xr:uid="{6C548694-67E3-4F4B-9AA6-A57D5BAC8D30}">
      <text>
        <t>[Threaded comment]
Your version of Excel allows you to read this threaded comment; however, any edits to it will get removed if the file is opened in a newer version of Excel. Learn more: https://go.microsoft.com/fwlink/?linkid=870924
Comment:
    Seite 26, aa)</t>
      </text>
    </comment>
    <comment ref="AE30" authorId="321" shapeId="0" xr:uid="{2C8AF8BB-BA7A-444C-970D-4D7DF9C9C981}">
      <text>
        <t>[Threaded comment]
Your version of Excel allows you to read this threaded comment; however, any edits to it will get removed if the file is opened in a newer version of Excel. Learn more: https://go.microsoft.com/fwlink/?linkid=870924
Comment:
    Seite 26, aa)</t>
      </text>
    </comment>
    <comment ref="AG30" authorId="322" shapeId="0" xr:uid="{FA804282-A67F-457E-A06E-528A15AFD57E}">
      <text>
        <t>[Threaded comment]
Your version of Excel allows you to read this threaded comment; however, any edits to it will get removed if the file is opened in a newer version of Excel. Learn more: https://go.microsoft.com/fwlink/?linkid=870924
Comment:
    Seite 3.
The plaintiff is a global company.</t>
      </text>
    </comment>
    <comment ref="AP30" authorId="323" shapeId="0" xr:uid="{B48BDD31-2C43-4771-9906-B5F0B06605A4}">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E31" authorId="324" shapeId="0" xr:uid="{E0E7265F-6E13-4C37-8E24-DAD5F48A85B3}">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S31" authorId="325" shapeId="0" xr:uid="{3FEB7CB6-AA8F-4B82-BEE2-24326B9857F2}">
      <text>
        <t>[Threaded comment]
Your version of Excel allows you to read this threaded comment; however, any edits to it will get removed if the file is opened in a newer version of Excel. Learn more: https://go.microsoft.com/fwlink/?linkid=870924
Comment:
    Letter of July 2014 (after the complaint)
.215</t>
      </text>
    </comment>
    <comment ref="W31" authorId="326" shapeId="0" xr:uid="{078D766E-7C00-4E05-A9B9-E507CFF463E9}">
      <text>
        <t>[Threaded comment]
Your version of Excel allows you to read this threaded comment; however, any edits to it will get removed if the file is opened in a newer version of Excel. Learn more: https://go.microsoft.com/fwlink/?linkid=870924
Comment:
    .83</t>
      </text>
    </comment>
    <comment ref="Y31" authorId="327" shapeId="0" xr:uid="{3E7EA171-BAEF-4F1D-A449-22FCF0C01A33}">
      <text>
        <t>[Threaded comment]
Your version of Excel allows you to read this threaded comment; however, any edits to it will get removed if the file is opened in a newer version of Excel. Learn more: https://go.microsoft.com/fwlink/?linkid=870924
Comment:
    .186
.201
.242</t>
      </text>
    </comment>
    <comment ref="Z31" authorId="328" shapeId="0" xr:uid="{E8F3AC25-DE07-4181-81D3-533209D14AE2}">
      <text>
        <t>[Threaded comment]
Your version of Excel allows you to read this threaded comment; however, any edits to it will get removed if the file is opened in a newer version of Excel. Learn more: https://go.microsoft.com/fwlink/?linkid=870924
Comment:
    .186
.202
.206
.209</t>
      </text>
    </comment>
    <comment ref="AA31" authorId="329" shapeId="0" xr:uid="{E9E6F090-9304-4077-8A91-00E3C45AF2F8}">
      <text>
        <t>[Threaded comment]
Your version of Excel allows you to read this threaded comment; however, any edits to it will get removed if the file is opened in a newer version of Excel. Learn more: https://go.microsoft.com/fwlink/?linkid=870924
Comment:
    .207
v
.228
.239</t>
      </text>
    </comment>
    <comment ref="AB31" authorId="330" shapeId="0" xr:uid="{83FCE9E1-8B20-4F39-8AB2-5D9CDC528930}">
      <text>
        <t>[Threaded comment]
Your version of Excel allows you to read this threaded comment; however, any edits to it will get removed if the file is opened in a newer version of Excel. Learn more: https://go.microsoft.com/fwlink/?linkid=870924
Comment:
    .82
.186
v
.206
.243</t>
      </text>
    </comment>
    <comment ref="AC31" authorId="331" shapeId="0" xr:uid="{F062CCD5-47D6-4522-9E44-9D94A312866B}">
      <text>
        <t>[Threaded comment]
Your version of Excel allows you to read this threaded comment; however, any edits to it will get removed if the file is opened in a newer version of Excel. Learn more: https://go.microsoft.com/fwlink/?linkid=870924
Comment:
    .220
Reply:
    Used to be Yes?</t>
      </text>
    </comment>
    <comment ref="AD31" authorId="332" shapeId="0" xr:uid="{2A8CA73E-062F-479E-9DE7-D8821BD08BF0}">
      <text>
        <t>[Threaded comment]
Your version of Excel allows you to read this threaded comment; however, any edits to it will get removed if the file is opened in a newer version of Excel. Learn more: https://go.microsoft.com/fwlink/?linkid=870924
Comment:
    .207
v
.228
.239</t>
      </text>
    </comment>
    <comment ref="AE31" authorId="333" shapeId="0" xr:uid="{43934D66-E41E-417C-AB05-6A7052748D79}">
      <text>
        <t>[Threaded comment]
Your version of Excel allows you to read this threaded comment; however, any edits to it will get removed if the file is opened in a newer version of Excel. Learn more: https://go.microsoft.com/fwlink/?linkid=870924
Comment:
    .221
Reply:
    -
Justus</t>
      </text>
    </comment>
    <comment ref="AF31" authorId="334" shapeId="0" xr:uid="{42FA180C-70E4-4473-9F8D-72B8CB7CB8C5}">
      <text>
        <t>[Threaded comment]
Your version of Excel allows you to read this threaded comment; however, any edits to it will get removed if the file is opened in a newer version of Excel. Learn more: https://go.microsoft.com/fwlink/?linkid=870924
Comment:
    .83
Only mention of a pool, and apparently it is a competing or not related offer.</t>
      </text>
    </comment>
    <comment ref="AG31" authorId="335" shapeId="0" xr:uid="{6DA23761-49B1-4700-AC58-419B4470BBC7}">
      <text>
        <t>[Threaded comment]
Your version of Excel allows you to read this threaded comment; however, any edits to it will get removed if the file is opened in a newer version of Excel. Learn more: https://go.microsoft.com/fwlink/?linkid=870924
Comment:
    .43
.58
.219-.220</t>
      </text>
    </comment>
    <comment ref="AJ31" authorId="336" shapeId="0" xr:uid="{12DF9E45-A378-45FB-938C-8110365ADDEB}">
      <text>
        <t>[Threaded comment]
Your version of Excel allows you to read this threaded comment; however, any edits to it will get removed if the file is opened in a newer version of Excel. Learn more: https://go.microsoft.com/fwlink/?linkid=870924
Comment:
    Apparently, there was no decision/outcome</t>
      </text>
    </comment>
    <comment ref="AS31" authorId="337" shapeId="0" xr:uid="{61FC6129-3ABA-4FD5-B632-C5F82DE3A30C}">
      <text>
        <t>[Threaded comment]
Your version of Excel allows you to read this threaded comment; however, any edits to it will get removed if the file is opened in a newer version of Excel. Learn more: https://go.microsoft.com/fwlink/?linkid=870924
Comment:
    Darts</t>
      </text>
    </comment>
    <comment ref="Y32" authorId="338" shapeId="0" xr:uid="{207B801F-31D0-4C9C-A086-4F820F9ADB07}">
      <text>
        <t>[Threaded comment]
Your version of Excel allows you to read this threaded comment; however, any edits to it will get removed if the file is opened in a newer version of Excel. Learn more: https://go.microsoft.com/fwlink/?linkid=870924
Comment:
    .108
.109</t>
      </text>
    </comment>
    <comment ref="Z32" authorId="339" shapeId="0" xr:uid="{FE31989E-86F2-4B00-A3A5-AA5EC650E1AA}">
      <text>
        <t>[Threaded comment]
Your version of Excel allows you to read this threaded comment; however, any edits to it will get removed if the file is opened in a newer version of Excel. Learn more: https://go.microsoft.com/fwlink/?linkid=870924
Comment:
    .109</t>
      </text>
    </comment>
    <comment ref="AA32" authorId="340" shapeId="0" xr:uid="{B7DA0F0B-E204-4444-BDF2-2C70E82FC777}">
      <text>
        <t>[Threaded comment]
Your version of Excel allows you to read this threaded comment; however, any edits to it will get removed if the file is opened in a newer version of Excel. Learn more: https://go.microsoft.com/fwlink/?linkid=870924
Comment:
    .109</t>
      </text>
    </comment>
    <comment ref="AB32" authorId="341" shapeId="0" xr:uid="{F58A42DF-7443-4C6A-9858-29EE53B6B800}">
      <text>
        <t>[Threaded comment]
Your version of Excel allows you to read this threaded comment; however, any edits to it will get removed if the file is opened in a newer version of Excel. Learn more: https://go.microsoft.com/fwlink/?linkid=870924
Comment:
    .109
.117
.135</t>
      </text>
    </comment>
    <comment ref="AC32" authorId="342" shapeId="0" xr:uid="{C6D4D238-7894-4FC5-AC68-EC20F12208A9}">
      <text>
        <t>[Threaded comment]
Your version of Excel allows you to read this threaded comment; however, any edits to it will get removed if the file is opened in a newer version of Excel. Learn more: https://go.microsoft.com/fwlink/?linkid=870924
Comment:
    .116</t>
      </text>
    </comment>
    <comment ref="AD32" authorId="343" shapeId="0" xr:uid="{2B2385BA-05F0-467B-AEBA-61F793465773}">
      <text>
        <t>[Threaded comment]
Your version of Excel allows you to read this threaded comment; however, any edits to it will get removed if the file is opened in a newer version of Excel. Learn more: https://go.microsoft.com/fwlink/?linkid=870924
Comment:
    .116</t>
      </text>
    </comment>
    <comment ref="AE32" authorId="344" shapeId="0" xr:uid="{ABEE2949-8A88-4147-AB12-24042AD914E3}">
      <text>
        <t>[Threaded comment]
Your version of Excel allows you to read this threaded comment; however, any edits to it will get removed if the file is opened in a newer version of Excel. Learn more: https://go.microsoft.com/fwlink/?linkid=870924
Comment:
    .116</t>
      </text>
    </comment>
    <comment ref="AG32" authorId="345" shapeId="0" xr:uid="{B2AABF7B-88DB-4638-9012-EBD94A99FC17}">
      <text>
        <t>[Threaded comment]
Your version of Excel allows you to read this threaded comment; however, any edits to it will get removed if the file is opened in a newer version of Excel. Learn more: https://go.microsoft.com/fwlink/?linkid=870924
Comment:
    .137
.3
Reply:
    Used to be Yes?</t>
      </text>
    </comment>
    <comment ref="AS32" authorId="346" shapeId="0" xr:uid="{3E07184D-52FF-435F-BCB2-5DF5F2174D65}">
      <text>
        <t>[Threaded comment]
Your version of Excel allows you to read this threaded comment; however, any edits to it will get removed if the file is opened in a newer version of Excel. Learn more: https://go.microsoft.com/fwlink/?linkid=870924
Comment:
    Darts</t>
      </text>
    </comment>
    <comment ref="S33" authorId="347" shapeId="0" xr:uid="{9D03BA9B-D146-4CB2-9142-BFE43E0CC808}">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W33" authorId="348" shapeId="0" xr:uid="{F49DDB79-A966-4B13-A2E9-514AD8DF682D}">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
Reply:
    Offers redacted.</t>
      </text>
    </comment>
    <comment ref="Y33" authorId="349" shapeId="0" xr:uid="{640A6F64-90E1-4530-AA21-817436122B5B}">
      <text>
        <t>[Threaded comment]
Your version of Excel allows you to read this threaded comment; however, any edits to it will get removed if the file is opened in a newer version of Excel. Learn more: https://go.microsoft.com/fwlink/?linkid=870924
Comment:
    .160</t>
      </text>
    </comment>
    <comment ref="Z33" authorId="350" shapeId="0" xr:uid="{FF28101F-2B3B-436A-AB9D-FDB5698B2840}">
      <text>
        <t>[Threaded comment]
Your version of Excel allows you to read this threaded comment; however, any edits to it will get removed if the file is opened in a newer version of Excel. Learn more: https://go.microsoft.com/fwlink/?linkid=870924
Comment:
    .160</t>
      </text>
    </comment>
    <comment ref="AA33" authorId="351" shapeId="0" xr:uid="{23DA45D0-CF7A-48BB-9C0C-CF1D00DB3FA2}">
      <text>
        <t>[Threaded comment]
Your version of Excel allows you to read this threaded comment; however, any edits to it will get removed if the file is opened in a newer version of Excel. Learn more: https://go.microsoft.com/fwlink/?linkid=870924
Comment:
    .160</t>
      </text>
    </comment>
    <comment ref="AB33" authorId="352" shapeId="0" xr:uid="{71588D51-8393-4AA4-B627-428465223A1D}">
      <text>
        <t>[Threaded comment]
Your version of Excel allows you to read this threaded comment; however, any edits to it will get removed if the file is opened in a newer version of Excel. Learn more: https://go.microsoft.com/fwlink/?linkid=870924
Comment:
    .159</t>
      </text>
    </comment>
    <comment ref="AC33" authorId="353" shapeId="0" xr:uid="{8EDC881C-30B7-402A-9934-E55795459E62}">
      <text>
        <t>[Threaded comment]
Your version of Excel allows you to read this threaded comment; however, any edits to it will get removed if the file is opened in a newer version of Excel. Learn more: https://go.microsoft.com/fwlink/?linkid=870924
Comment:
    .3
.168</t>
      </text>
    </comment>
    <comment ref="AD33" authorId="354" shapeId="0" xr:uid="{6E8A1B40-525C-4897-A93A-973BABA78DEF}">
      <text>
        <t>[Threaded comment]
Your version of Excel allows you to read this threaded comment; however, any edits to it will get removed if the file is opened in a newer version of Excel. Learn more: https://go.microsoft.com/fwlink/?linkid=870924
Comment:
    .3
.168</t>
      </text>
    </comment>
    <comment ref="AE33" authorId="355" shapeId="0" xr:uid="{A37EF9FE-58EE-4ADA-BF47-D93EA9A0ADCC}">
      <text>
        <t>[Threaded comment]
Your version of Excel allows you to read this threaded comment; however, any edits to it will get removed if the file is opened in a newer version of Excel. Learn more: https://go.microsoft.com/fwlink/?linkid=870924
Comment:
    .3
.168</t>
      </text>
    </comment>
    <comment ref="AS33" authorId="356" shapeId="0" xr:uid="{77A30FBC-0A3B-4BBA-A6DD-ECF5136311FB}">
      <text>
        <t>[Threaded comment]
Your version of Excel allows you to read this threaded comment; however, any edits to it will get removed if the file is opened in a newer version of Excel. Learn more: https://go.microsoft.com/fwlink/?linkid=870924
Comment:
    Darts</t>
      </text>
    </comment>
    <comment ref="S34" authorId="357" shapeId="0" xr:uid="{8C4E2F3A-CA43-4A10-87B0-5C1B364A8DB4}">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W34" authorId="358" shapeId="0" xr:uid="{B12636DA-3367-4E46-8000-165A158D426A}">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Y34" authorId="359" shapeId="0" xr:uid="{62525DBA-E842-4502-B0E7-2E7189929999}">
      <text>
        <t>[Threaded comment]
Your version of Excel allows you to read this threaded comment; however, any edits to it will get removed if the file is opened in a newer version of Excel. Learn more: https://go.microsoft.com/fwlink/?linkid=870924
Comment:
    .147</t>
      </text>
    </comment>
    <comment ref="Z34" authorId="360" shapeId="0" xr:uid="{279AE4AD-3F7B-4A94-806E-9DF7C16D6A21}">
      <text>
        <t>[Threaded comment]
Your version of Excel allows you to read this threaded comment; however, any edits to it will get removed if the file is opened in a newer version of Excel. Learn more: https://go.microsoft.com/fwlink/?linkid=870924
Comment:
    .148</t>
      </text>
    </comment>
    <comment ref="AA34" authorId="361" shapeId="0" xr:uid="{E8FE9379-E2FE-45CC-9EA5-6442610B6433}">
      <text>
        <t>[Threaded comment]
Your version of Excel allows you to read this threaded comment; however, any edits to it will get removed if the file is opened in a newer version of Excel. Learn more: https://go.microsoft.com/fwlink/?linkid=870924
Comment:
    .148</t>
      </text>
    </comment>
    <comment ref="AB34" authorId="362" shapeId="0" xr:uid="{F834FC62-3BF0-4620-990F-E2B3CCD68B81}">
      <text>
        <t>[Threaded comment]
Your version of Excel allows you to read this threaded comment; however, any edits to it will get removed if the file is opened in a newer version of Excel. Learn more: https://go.microsoft.com/fwlink/?linkid=870924
Comment:
    .147-.148</t>
      </text>
    </comment>
    <comment ref="AC34" authorId="363" shapeId="0" xr:uid="{3F317A96-995E-4F3C-B256-ED2E96047783}">
      <text>
        <t>[Threaded comment]
Your version of Excel allows you to read this threaded comment; however, any edits to it will get removed if the file is opened in a newer version of Excel. Learn more: https://go.microsoft.com/fwlink/?linkid=870924
Comment:
    .146</t>
      </text>
    </comment>
    <comment ref="AD34" authorId="364" shapeId="0" xr:uid="{94464D30-535B-446D-8906-A69FB659B6DD}">
      <text>
        <t>[Threaded comment]
Your version of Excel allows you to read this threaded comment; however, any edits to it will get removed if the file is opened in a newer version of Excel. Learn more: https://go.microsoft.com/fwlink/?linkid=870924
Comment:
    .146</t>
      </text>
    </comment>
    <comment ref="AE34" authorId="365" shapeId="0" xr:uid="{604015B3-3624-479F-9CE5-301B35A49D2B}">
      <text>
        <t>[Threaded comment]
Your version of Excel allows you to read this threaded comment; however, any edits to it will get removed if the file is opened in a newer version of Excel. Learn more: https://go.microsoft.com/fwlink/?linkid=870924
Comment:
    .146</t>
      </text>
    </comment>
    <comment ref="AF34" authorId="366" shapeId="0" xr:uid="{9FDED2AD-6E19-4714-B389-DEA910F87BD2}">
      <text>
        <t>[Threaded comment]
Your version of Excel allows you to read this threaded comment; however, any edits to it will get removed if the file is opened in a newer version of Excel. Learn more: https://go.microsoft.com/fwlink/?linkid=870924
Comment:
    .160</t>
      </text>
    </comment>
    <comment ref="AP34" authorId="367" shapeId="0" xr:uid="{384B7DEF-4C89-426B-8C29-FE5C8C48F961}">
      <text>
        <t>[Threaded comment]
Your version of Excel allows you to read this threaded comment; however, any edits to it will get removed if the file is opened in a newer version of Excel. Learn more: https://go.microsoft.com/fwlink/?linkid=870924
Comment:
    Replacement of claims 1 and 11.</t>
      </text>
    </comment>
    <comment ref="AS34" authorId="368" shapeId="0" xr:uid="{717EAF44-80B1-48EB-AE36-32E62C95E609}">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S35" authorId="369" shapeId="0" xr:uid="{65F36519-37F1-4B7C-8395-49F0E6D86C7E}">
      <text>
        <t>[Threaded comment]
Your version of Excel allows you to read this threaded comment; however, any edits to it will get removed if the file is opened in a newer version of Excel. Learn more: https://go.microsoft.com/fwlink/?linkid=870924
Comment:
    .99
.147</t>
      </text>
    </comment>
    <comment ref="W35" authorId="370" shapeId="0" xr:uid="{55AD3A0E-21EF-49E1-AF5F-F63F3F879281}">
      <text>
        <t>[Threaded comment]
Your version of Excel allows you to read this threaded comment; however, any edits to it will get removed if the file is opened in a newer version of Excel. Learn more: https://go.microsoft.com/fwlink/?linkid=870924
Comment:
    .99
.147</t>
      </text>
    </comment>
    <comment ref="Y35" authorId="371" shapeId="0" xr:uid="{683BD3A6-6578-457F-B03B-6EEFF5CF13AF}">
      <text>
        <t>[Threaded comment]
Your version of Excel allows you to read this threaded comment; however, any edits to it will get removed if the file is opened in a newer version of Excel. Learn more: https://go.microsoft.com/fwlink/?linkid=870924
Comment:
    .122
.128</t>
      </text>
    </comment>
    <comment ref="Z35" authorId="372" shapeId="0" xr:uid="{0C6CBC3A-0569-476D-A95C-151FDB78D92C}">
      <text>
        <t>[Threaded comment]
Your version of Excel allows you to read this threaded comment; however, any edits to it will get removed if the file is opened in a newer version of Excel. Learn more: https://go.microsoft.com/fwlink/?linkid=870924
Comment:
    .128</t>
      </text>
    </comment>
    <comment ref="AA35" authorId="373" shapeId="0" xr:uid="{4DAC637B-F74B-4518-BF22-3180F2DAD4F3}">
      <text>
        <t>[Threaded comment]
Your version of Excel allows you to read this threaded comment; however, any edits to it will get removed if the file is opened in a newer version of Excel. Learn more: https://go.microsoft.com/fwlink/?linkid=870924
Comment:
    .99
.147</t>
      </text>
    </comment>
    <comment ref="AB35" authorId="374" shapeId="0" xr:uid="{90E97536-CB72-4B15-9570-3FBE1112BAA9}">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C35" authorId="375" shapeId="0" xr:uid="{A28C7A37-D5A6-494E-8CB8-09CE321F86BF}">
      <text>
        <t>[Threaded comment]
Your version of Excel allows you to read this threaded comment; however, any edits to it will get removed if the file is opened in a newer version of Excel. Learn more: https://go.microsoft.com/fwlink/?linkid=870924
Comment:
    .127
.148
v
.257
Reply:
    Used to be Yes?</t>
      </text>
    </comment>
    <comment ref="AD35" authorId="376" shapeId="0" xr:uid="{93F0393E-2240-4EDB-BF06-140F980B6AE3}">
      <text>
        <t>[Threaded comment]
Your version of Excel allows you to read this threaded comment; however, any edits to it will get removed if the file is opened in a newer version of Excel. Learn more: https://go.microsoft.com/fwlink/?linkid=870924
Comment:
    .127
.148
v
.257
Reply:
    Used to be Yes?</t>
      </text>
    </comment>
    <comment ref="AE35" authorId="377" shapeId="0" xr:uid="{FC8A089C-2997-4DDB-8106-7818C35B37DB}">
      <text>
        <t>[Threaded comment]
Your version of Excel allows you to read this threaded comment; however, any edits to it will get removed if the file is opened in a newer version of Excel. Learn more: https://go.microsoft.com/fwlink/?linkid=870924
Comment:
    .127
.148
v
.257
Reply:
    Used to be Yes?</t>
      </text>
    </comment>
    <comment ref="AF35" authorId="378" shapeId="0" xr:uid="{206497A4-76D7-470B-AD2F-57A1A1B93B5B}">
      <text>
        <t>[Threaded comment]
Your version of Excel allows you to read this threaded comment; however, any edits to it will get removed if the file is opened in a newer version of Excel. Learn more: https://go.microsoft.com/fwlink/?linkid=870924
Comment:
    .16
.98
.146
.149</t>
      </text>
    </comment>
    <comment ref="AG35" authorId="379" shapeId="0" xr:uid="{73512851-3F22-4EFC-AE6D-D90EFBD405D9}">
      <text>
        <t>[Threaded comment]
Your version of Excel allows you to read this threaded comment; however, any edits to it will get removed if the file is opened in a newer version of Excel. Learn more: https://go.microsoft.com/fwlink/?linkid=870924
Comment:
    .144
And Avanci is the pool
Reply:
    Used to be Yes?</t>
      </text>
    </comment>
    <comment ref="AS35" authorId="380" shapeId="0" xr:uid="{794B8060-3F8A-4B2B-8C51-F2AF0634A0BE}">
      <text>
        <t>[Threaded comment]
Your version of Excel allows you to read this threaded comment; however, any edits to it will get removed if the file is opened in a newer version of Excel. Learn more: https://go.microsoft.com/fwlink/?linkid=870924
Comment:
    Darts</t>
      </text>
    </comment>
    <comment ref="S36" authorId="381" shapeId="0" xr:uid="{DBE253BE-AF64-4BBE-80A7-5845DDA2EE20}">
      <text>
        <t>[Threaded comment]
Your version of Excel allows you to read this threaded comment; however, any edits to it will get removed if the file is opened in a newer version of Excel. Learn more: https://go.microsoft.com/fwlink/?linkid=870924
Comment:
    .22</t>
      </text>
    </comment>
    <comment ref="W36" authorId="382" shapeId="0" xr:uid="{ABE688B0-9C4E-4756-A264-DC08C69102C9}">
      <text>
        <t>[Threaded comment]
Your version of Excel allows you to read this threaded comment; however, any edits to it will get removed if the file is opened in a newer version of Excel. Learn more: https://go.microsoft.com/fwlink/?linkid=870924
Comment:
    .22</t>
      </text>
    </comment>
    <comment ref="Y36" authorId="383" shapeId="0" xr:uid="{26B0930E-D173-4DAC-BED2-4542622C4B9F}">
      <text>
        <t>[Threaded comment]
Your version of Excel allows you to read this threaded comment; however, any edits to it will get removed if the file is opened in a newer version of Excel. Learn more: https://go.microsoft.com/fwlink/?linkid=870924
Comment:
    .280</t>
      </text>
    </comment>
    <comment ref="Z36" authorId="384" shapeId="0" xr:uid="{8623A888-7CC2-4957-9920-32340E3C7CD5}">
      <text>
        <t>[Threaded comment]
Your version of Excel allows you to read this threaded comment; however, any edits to it will get removed if the file is opened in a newer version of Excel. Learn more: https://go.microsoft.com/fwlink/?linkid=870924
Comment:
    .288
v
.290
Reply:
    Used to be Yes?</t>
      </text>
    </comment>
    <comment ref="AA36" authorId="385" shapeId="0" xr:uid="{1BA235EC-7A76-4CD0-A572-9B7BE56A27D6}">
      <text>
        <t>[Threaded comment]
Your version of Excel allows you to read this threaded comment; however, any edits to it will get removed if the file is opened in a newer version of Excel. Learn more: https://go.microsoft.com/fwlink/?linkid=870924
Comment:
    .297</t>
      </text>
    </comment>
    <comment ref="AB36" authorId="386" shapeId="0" xr:uid="{06101EA1-7432-4726-8F69-C0065A321006}">
      <text>
        <t>[Threaded comment]
Your version of Excel allows you to read this threaded comment; however, any edits to it will get removed if the file is opened in a newer version of Excel. Learn more: https://go.microsoft.com/fwlink/?linkid=870924
Comment:
    .305</t>
      </text>
    </comment>
    <comment ref="AC36" authorId="387" shapeId="0" xr:uid="{BB3B60CB-C675-4D3D-828C-30AD9DDC536B}">
      <text>
        <t>[Threaded comment]
Your version of Excel allows you to read this threaded comment; however, any edits to it will get removed if the file is opened in a newer version of Excel. Learn more: https://go.microsoft.com/fwlink/?linkid=870924
Comment:
    .278
.321
.322
.418
Reply:
    Previous offers (2012-2015) were not substantially FRAND (lack of explanation on how they were calculated) and the 2017 one (during litigation) was not formally FRAND (timing, too late, during litigation)</t>
      </text>
    </comment>
    <comment ref="AD36" authorId="388" shapeId="0" xr:uid="{6EFCDBFC-A684-404F-831C-5A81A424B998}">
      <text>
        <t>[Threaded comment]
Your version of Excel allows you to read this threaded comment; however, any edits to it will get removed if the file is opened in a newer version of Excel. Learn more: https://go.microsoft.com/fwlink/?linkid=870924
Comment:
    .322
.342
.354
.375
.422
.449
.451
Reply:
    Mentions of both, timing and lack of clarity for the calculations.</t>
      </text>
    </comment>
    <comment ref="AE36" authorId="389" shapeId="0" xr:uid="{71F4F368-F857-4F17-984C-635BFFAFF387}">
      <text>
        <t>[Threaded comment]
Your version of Excel allows you to read this threaded comment; however, any edits to it will get removed if the file is opened in a newer version of Excel. Learn more: https://go.microsoft.com/fwlink/?linkid=870924
Comment:
    .322
.420
Reply:
    Mentions of both, timing and lack of clarity for the calculations.</t>
      </text>
    </comment>
    <comment ref="AG36" authorId="390" shapeId="0" xr:uid="{591C794C-CBB7-4BA1-9A7D-84B6A99E64DB}">
      <text>
        <t>[Threaded comment]
Your version of Excel allows you to read this threaded comment; however, any edits to it will get removed if the file is opened in a newer version of Excel. Learn more: https://go.microsoft.com/fwlink/?linkid=870924
Comment:
    .26
.40
.44</t>
      </text>
    </comment>
    <comment ref="AP36" authorId="391" shapeId="0" xr:uid="{DA19761D-8780-4954-91DE-B545AC858EB9}">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O37" authorId="392" shapeId="0" xr:uid="{4BE678D7-7B62-4577-BA39-F789DD56FCB4}">
      <text>
        <t>[Threaded comment]
Your version of Excel allows you to read this threaded comment; however, any edits to it will get removed if the file is opened in a newer version of Excel. Learn more: https://go.microsoft.com/fwlink/?linkid=870924
Comment:
    Used to be ?
Then 1?</t>
      </text>
    </comment>
    <comment ref="S37" authorId="393" shapeId="0" xr:uid="{3297C1C8-FE32-4BD7-B4F1-435BE0AC11A4}">
      <text>
        <t>[Threaded comment]
Your version of Excel allows you to read this threaded comment; however, any edits to it will get removed if the file is opened in a newer version of Excel. Learn more: https://go.microsoft.com/fwlink/?linkid=870924
Comment:
    .23</t>
      </text>
    </comment>
    <comment ref="W37" authorId="394" shapeId="0" xr:uid="{B4204844-7F7C-48BA-8027-8A0E691609EF}">
      <text>
        <t>[Threaded comment]
Your version of Excel allows you to read this threaded comment; however, any edits to it will get removed if the file is opened in a newer version of Excel. Learn more: https://go.microsoft.com/fwlink/?linkid=870924
Comment:
    .23</t>
      </text>
    </comment>
    <comment ref="Y37" authorId="395" shapeId="0" xr:uid="{327D0410-ACF5-4493-9A42-07A05EF47F4C}">
      <text>
        <t>[Threaded comment]
Your version of Excel allows you to read this threaded comment; however, any edits to it will get removed if the file is opened in a newer version of Excel. Learn more: https://go.microsoft.com/fwlink/?linkid=870924
Comment:
    .280</t>
      </text>
    </comment>
    <comment ref="Z37" authorId="396" shapeId="0" xr:uid="{A9E70471-0252-4B8E-8EEA-8A0B86649338}">
      <text>
        <t>[Threaded comment]
Your version of Excel allows you to read this threaded comment; however, any edits to it will get removed if the file is opened in a newer version of Excel. Learn more: https://go.microsoft.com/fwlink/?linkid=870924
Comment:
    .288
v
.290
Reply:
    Used to be Yes?</t>
      </text>
    </comment>
    <comment ref="AA37" authorId="397" shapeId="0" xr:uid="{C39E3FEB-91B7-472F-B37D-DABE0041E6DD}">
      <text>
        <t>[Threaded comment]
Your version of Excel allows you to read this threaded comment; however, any edits to it will get removed if the file is opened in a newer version of Excel. Learn more: https://go.microsoft.com/fwlink/?linkid=870924
Comment:
    .297</t>
      </text>
    </comment>
    <comment ref="AB37" authorId="398" shapeId="0" xr:uid="{703B2099-4A73-47E6-B958-778363EEE7BE}">
      <text>
        <t>[Threaded comment]
Your version of Excel allows you to read this threaded comment; however, any edits to it will get removed if the file is opened in a newer version of Excel. Learn more: https://go.microsoft.com/fwlink/?linkid=870924
Comment:
    .305</t>
      </text>
    </comment>
    <comment ref="AC37" authorId="399" shapeId="0" xr:uid="{50129832-456B-49EA-8C84-59095651758B}">
      <text>
        <t>[Threaded comment]
Your version of Excel allows you to read this threaded comment; however, any edits to it will get removed if the file is opened in a newer version of Excel. Learn more: https://go.microsoft.com/fwlink/?linkid=870924
Comment:
    .278
.321
.322
.418</t>
      </text>
    </comment>
    <comment ref="AD37" authorId="400" shapeId="0" xr:uid="{2B182C5B-22FB-4B85-AD86-097330DA34FF}">
      <text>
        <t>[Threaded comment]
Your version of Excel allows you to read this threaded comment; however, any edits to it will get removed if the file is opened in a newer version of Excel. Learn more: https://go.microsoft.com/fwlink/?linkid=870924
Comment:
    .322
.342
.354
.375
.422
.449
.451
Reply:
    Mentions of both, timing and lack of clarity for the calculations.</t>
      </text>
    </comment>
    <comment ref="AE37" authorId="401" shapeId="0" xr:uid="{A922801C-39AE-433C-957F-D1B93102DCA0}">
      <text>
        <t>[Threaded comment]
Your version of Excel allows you to read this threaded comment; however, any edits to it will get removed if the file is opened in a newer version of Excel. Learn more: https://go.microsoft.com/fwlink/?linkid=870924
Comment:
    .322
.420
Reply:
    Mentions of both, timing and lack of clarity for the calculations.</t>
      </text>
    </comment>
    <comment ref="AG37" authorId="402" shapeId="0" xr:uid="{1B6F6C68-D29A-4382-8ECD-D66CADBFCD86}">
      <text>
        <t>[Threaded comment]
Your version of Excel allows you to read this threaded comment; however, any edits to it will get removed if the file is opened in a newer version of Excel. Learn more: https://go.microsoft.com/fwlink/?linkid=870924
Comment:
    .26
.40
.44</t>
      </text>
    </comment>
    <comment ref="AP37" authorId="403" shapeId="0" xr:uid="{C6960B14-9A6D-465A-8F43-D9050A6D30B9}">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D38" authorId="404" shapeId="0" xr:uid="{D1F1137E-468B-40F6-BEE2-C208688AF1C6}">
      <text>
        <t>[Threaded comment]
Your version of Excel allows you to read this threaded comment; however, any edits to it will get removed if the file is opened in a newer version of Excel. Learn more: https://go.microsoft.com/fwlink/?linkid=870924
Comment:
    {the order here is reversed; the implementer successfully sues for a customs ban to be lifted}
Justus</t>
      </text>
    </comment>
    <comment ref="E38" authorId="405" shapeId="0" xr:uid="{5E4E8F6F-606C-43D4-9789-3DCE838E8B1B}">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M38" authorId="406" shapeId="0" xr:uid="{D18CB940-09D4-45F4-9721-F0C2D0776C3A}">
      <text>
        <t>[Threaded comment]
Your version of Excel allows you to read this threaded comment; however, any edits to it will get removed if the file is opened in a newer version of Excel. Learn more: https://go.microsoft.com/fwlink/?linkid=870924
Comment:
    .15</t>
      </text>
    </comment>
    <comment ref="U38" authorId="407" shapeId="0" xr:uid="{D857CAF7-E19C-443D-970A-7E2D38383CFF}">
      <text>
        <t>[Threaded comment]
Your version of Excel allows you to read this threaded comment; however, any edits to it will get removed if the file is opened in a newer version of Excel. Learn more: https://go.microsoft.com/fwlink/?linkid=870924
Comment:
    .15</t>
      </text>
    </comment>
    <comment ref="Y38" authorId="408" shapeId="0" xr:uid="{31A2A35C-55F3-4B2F-A6A6-F617D7D34CD5}">
      <text>
        <t>[Threaded comment]
Your version of Excel allows you to read this threaded comment; however, any edits to it will get removed if the file is opened in a newer version of Excel. Learn more: https://go.microsoft.com/fwlink/?linkid=870924
Comment:
    .15
.32</t>
      </text>
    </comment>
    <comment ref="Z38" authorId="409" shapeId="0" xr:uid="{09E97978-1016-4877-891D-A6EACF1A147D}">
      <text>
        <t>[Threaded comment]
Your version of Excel allows you to read this threaded comment; however, any edits to it will get removed if the file is opened in a newer version of Excel. Learn more: https://go.microsoft.com/fwlink/?linkid=870924
Comment:
    .33</t>
      </text>
    </comment>
    <comment ref="AC38" authorId="410" shapeId="0" xr:uid="{6CC488B0-877B-4EA1-B24C-732FBB2F7715}">
      <text>
        <t xml:space="preserve">[Threaded comment]
Your version of Excel allows you to read this threaded comment; however, any edits to it will get removed if the file is opened in a newer version of Excel. Learn more: https://go.microsoft.com/fwlink/?linkid=870924
Comment:
    NO
Justus </t>
      </text>
    </comment>
    <comment ref="D39" authorId="411" shapeId="0" xr:uid="{BD3FCE49-6D9F-4368-8E12-D77345524D9E}">
      <text>
        <t>[Threaded comment]
Your version of Excel allows you to read this threaded comment; however, any edits to it will get removed if the file is opened in a newer version of Excel. Learn more: https://go.microsoft.com/fwlink/?linkid=870924
Comment:
    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Reply:
    {retracted}
Justus</t>
      </text>
    </comment>
    <comment ref="E39" authorId="412" shapeId="0" xr:uid="{5C247FD9-A2AE-4138-94AD-AA72A347838B}">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Y39" authorId="413" shapeId="0" xr:uid="{84F1FA65-247A-4FE6-A693-2357F8C0E5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Z39" authorId="414" shapeId="0" xr:uid="{44E58E5E-434A-45E2-BAA6-ED12AD9627FC}">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A39" authorId="415" shapeId="0" xr:uid="{14FF0BC7-A3FC-4588-8F7B-D1B983BF5673}">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B39" authorId="416" shapeId="0" xr:uid="{3349219C-C6EB-4C13-932F-D7156F365284}">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C39" authorId="417" shapeId="0" xr:uid="{D7980DD2-86C7-4862-B4A5-EC316AB8BF6E}">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D39" authorId="418" shapeId="0" xr:uid="{FCE9C9E7-A0B6-4E49-AA6C-C5A250ED233A}">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E39" authorId="419" shapeId="0" xr:uid="{F4050829-ECBE-4DAE-9242-1FCF8FA6F27D}">
      <text>
        <t>[Threaded comment]
Your version of Excel allows you to read this threaded comment; however, any edits to it will get removed if the file is opened in a newer version of Excel. Learn more: https://go.microsoft.com/fwlink/?linkid=870924
Comment:
    {was not tested because action for injunctive relief retracted}
Justus</t>
      </text>
    </comment>
    <comment ref="AG39" authorId="420" shapeId="0" xr:uid="{AE351F9A-17BE-426D-81B4-F5DBFE12A56E}">
      <text>
        <t>[Threaded comment]
Your version of Excel allows you to read this threaded comment; however, any edits to it will get removed if the file is opened in a newer version of Excel. Learn more: https://go.microsoft.com/fwlink/?linkid=870924
Comment:
    Mention of the worlwide sales of the defendant. Seite 6</t>
      </text>
    </comment>
    <comment ref="AS39" authorId="421" shapeId="0" xr:uid="{52BA4B67-2E77-4AF9-BC74-BBBFC8763A3B}">
      <text>
        <t>[Threaded comment]
Your version of Excel allows you to read this threaded comment; however, any edits to it will get removed if the file is opened in a newer version of Excel. Learn more: https://go.microsoft.com/fwlink/?linkid=870924
Comment:
    Darts</t>
      </text>
    </comment>
    <comment ref="C40" authorId="422" shapeId="0" xr:uid="{65CBC97A-1C38-4B3B-B6C6-39C6562E9535}">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40" authorId="423" shapeId="0" xr:uid="{C50472F7-4D47-4403-B431-4B0855C07AA7}">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W40" authorId="424" shapeId="0" xr:uid="{1D48B6F2-C512-40FD-9DD7-9CEC16C8C51B}">
      <text>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text>
    </comment>
    <comment ref="X40" authorId="425" shapeId="0" xr:uid="{AB8A4BFD-B7CF-4829-A77D-A53D2994688D}">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Y40" authorId="426" shapeId="0" xr:uid="{6EB991B9-E067-4DC7-96ED-35D336C7B4AA}">
      <text>
        <t>[Threaded comment]
Your version of Excel allows you to read this threaded comment; however, any edits to it will get removed if the file is opened in a newer version of Excel. Learn more: https://go.microsoft.com/fwlink/?linkid=870924
Comment:
    Seite 19, III.</t>
      </text>
    </comment>
    <comment ref="Z40" authorId="427" shapeId="0" xr:uid="{D343255F-847F-4D6E-8499-F725EEA34BEF}">
      <text>
        <t>[Threaded comment]
Your version of Excel allows you to read this threaded comment; however, any edits to it will get removed if the file is opened in a newer version of Excel. Learn more: https://go.microsoft.com/fwlink/?linkid=870924
Comment:
    Seite 19, III.</t>
      </text>
    </comment>
    <comment ref="AA40" authorId="428" shapeId="0" xr:uid="{86D504D6-2341-4191-972A-A37EC2DA99C2}">
      <text>
        <t>[Threaded comment]
Your version of Excel allows you to read this threaded comment; however, any edits to it will get removed if the file is opened in a newer version of Excel. Learn more: https://go.microsoft.com/fwlink/?linkid=870924
Comment:
    Seite 19, III.
Transitional case, apparently before Huawei v ZTE, the offer was not required to have been made before the lawsuit.</t>
      </text>
    </comment>
    <comment ref="AB40" authorId="429" shapeId="0" xr:uid="{5CF8D17A-0CB0-4B99-8A1D-B6BE3E570FE8}">
      <text>
        <t>[Threaded comment]
Your version of Excel allows you to read this threaded comment; however, any edits to it will get removed if the file is opened in a newer version of Excel. Learn more: https://go.microsoft.com/fwlink/?linkid=870924
Comment:
    Seite 21
Beide Seiten zeigen sich zwar im Grunde Willens, einen Lizenzvertrag abzuschließen</t>
      </text>
    </comment>
    <comment ref="AC40" authorId="430" shapeId="0" xr:uid="{9EAC1566-CBF9-4202-BAC5-88C5AE8DD480}">
      <text>
        <t>[Threaded comment]
Your version of Excel allows you to read this threaded comment; however, any edits to it will get removed if the file is opened in a newer version of Excel. Learn more: https://go.microsoft.com/fwlink/?linkid=870924
Comment:
    Seite 35, e).</t>
      </text>
    </comment>
    <comment ref="AD40" authorId="431" shapeId="0" xr:uid="{85F926B5-3CA9-49A8-BFF9-F91561B02CF5}">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35, e).
Reply:
    Used to be Yes*</t>
      </text>
    </comment>
    <comment ref="AE40" authorId="432" shapeId="0" xr:uid="{E53AFF5A-16D9-4C84-9A51-33B955C0531E}">
      <text>
        <t>[Threaded comment]
Your version of Excel allows you to read this threaded comment; however, any edits to it will get removed if the file is opened in a newer version of Excel. Learn more: https://go.microsoft.com/fwlink/?linkid=870924
Comment:
    Seite 35, e).</t>
      </text>
    </comment>
    <comment ref="AF40" authorId="433" shapeId="0" xr:uid="{B8A6B17E-9E02-471B-A708-92213B33AD82}">
      <text>
        <t>[Threaded comment]
Your version of Excel allows you to read this threaded comment; however, any edits to it will get removed if the file is opened in a newer version of Excel. Learn more: https://go.microsoft.com/fwlink/?linkid=870924
Comment:
    Seite 5</t>
      </text>
    </comment>
    <comment ref="AG40" authorId="434" shapeId="0" xr:uid="{6962D191-5A58-4E39-AB0F-5754B1F7E3BF}">
      <text>
        <t>[Threaded comment]
Your version of Excel allows you to read this threaded comment; however, any edits to it will get removed if the file is opened in a newer version of Excel. Learn more: https://go.microsoft.com/fwlink/?linkid=870924
Comment:
    Seite 35, e).
Seite 38, b).</t>
      </text>
    </comment>
    <comment ref="AJ40" authorId="435" shapeId="0" xr:uid="{C37F0342-CF31-4E5E-A91D-708A69520CFF}">
      <text>
        <t>[Threaded comment]
Your version of Excel allows you to read this threaded comment; however, any edits to it will get removed if the file is opened in a newer version of Excel. Learn more: https://go.microsoft.com/fwlink/?linkid=870924
Comment:
    Reversed in part? No explicit mention, but both parties are recognised as winners.</t>
      </text>
    </comment>
    <comment ref="AP40" authorId="436" shapeId="0" xr:uid="{B6E4F74B-ED10-41E8-8DE1-5D82805F2291}">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AS40" authorId="437" shapeId="0" xr:uid="{42DD2DB2-5146-4EE6-B0B0-26E68A56FE1E}">
      <text>
        <t>[Threaded comment]
Your version of Excel allows you to read this threaded comment; however, any edits to it will get removed if the file is opened in a newer version of Excel. Learn more: https://go.microsoft.com/fwlink/?linkid=870924
Comment:
    Darts</t>
      </text>
    </comment>
    <comment ref="C41" authorId="438" shapeId="0" xr:uid="{95A2629F-055A-463B-93E3-C5EAD573E9CB}">
      <text>
        <t>[Threaded comment]
Your version of Excel allows you to read this threaded comment; however, any edits to it will get removed if the file is opened in a newer version of Excel. Learn more: https://go.microsoft.com/fwlink/?linkid=870924
Comment:
    Two dates. Latest decision (with same original complaint) was awarded an injunction</t>
      </text>
    </comment>
    <comment ref="S41" authorId="439" shapeId="0" xr:uid="{38702FA9-95E1-42CC-9C58-D7AD2C7954D6}">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W41" authorId="440" shapeId="0" xr:uid="{C3066B8E-8631-49F0-B97C-5E546FB5EB25}">
      <text>
        <t>[Threaded comment]
Your version of Excel allows you to read this threaded comment; however, any edits to it will get removed if the file is opened in a newer version of Excel. Learn more: https://go.microsoft.com/fwlink/?linkid=870924
Comment:
    Seite 6
Seite 35, d).</t>
      </text>
    </comment>
    <comment ref="X41" authorId="441" shapeId="0" xr:uid="{87A1BC98-4A06-47B8-BDC1-0A8F2AC24E37}">
      <text>
        <t>[Threaded comment]
Your version of Excel allows you to read this threaded comment; however, any edits to it will get removed if the file is opened in a newer version of Excel. Learn more: https://go.microsoft.com/fwlink/?linkid=870924
Comment:
    I would say it is the later date</t>
      </text>
    </comment>
    <comment ref="Y41" authorId="442" shapeId="0" xr:uid="{34D2BEE6-B478-4F60-AF2B-10E6AD850F6F}">
      <text>
        <t>[Threaded comment]
Your version of Excel allows you to read this threaded comment; however, any edits to it will get removed if the file is opened in a newer version of Excel. Learn more: https://go.microsoft.com/fwlink/?linkid=870924
Comment:
    Seite 20, III.</t>
      </text>
    </comment>
    <comment ref="Z41" authorId="443" shapeId="0" xr:uid="{D8A63E64-C5AD-45C4-A3EB-6226EA2176F6}">
      <text>
        <t>[Threaded comment]
Your version of Excel allows you to read this threaded comment; however, any edits to it will get removed if the file is opened in a newer version of Excel. Learn more: https://go.microsoft.com/fwlink/?linkid=870924
Comment:
    Seite 20, III.</t>
      </text>
    </comment>
    <comment ref="AA41" authorId="444" shapeId="0" xr:uid="{EC81A276-427D-4672-9277-0C02D421FF6B}">
      <text>
        <t>[Threaded comment]
Your version of Excel allows you to read this threaded comment; however, any edits to it will get removed if the file is opened in a newer version of Excel. Learn more: https://go.microsoft.com/fwlink/?linkid=870924
Comment:
    Seite 20, III.
Transitional case, apparently before Huawei v ZTE, the offer was not required to have been made before the lawsuit.</t>
      </text>
    </comment>
    <comment ref="AB41" authorId="445" shapeId="0" xr:uid="{26555C26-70FC-4BDE-84E5-A2976D257413}">
      <text>
        <t>[Threaded comment]
Your version of Excel allows you to read this threaded comment; however, any edits to it will get removed if the file is opened in a newer version of Excel. Learn more: https://go.microsoft.com/fwlink/?linkid=870924
Comment:
    Seite 22
Beide Seiten zeigen sich zwar im Grunde Willens, einen Lizenzvertrag abzuschließen</t>
      </text>
    </comment>
    <comment ref="AC41" authorId="446" shapeId="0" xr:uid="{9324A699-AD5C-4775-87FD-A6F8F73BBBD0}">
      <text>
        <t>[Threaded comment]
Your version of Excel allows you to read this threaded comment; however, any edits to it will get removed if the file is opened in a newer version of Excel. Learn more: https://go.microsoft.com/fwlink/?linkid=870924
Comment:
    Seite 36, e).</t>
      </text>
    </comment>
    <comment ref="AD41" authorId="447" shapeId="0" xr:uid="{E4334AC3-A9CF-48BC-905D-B9CD46C9E14C}">
      <text>
        <t>[Threaded comment]
Your version of Excel allows you to read this threaded comment; however, any edits to it will get removed if the file is opened in a newer version of Excel. Learn more: https://go.microsoft.com/fwlink/?linkid=870924
Comment:
    Though, it is a ransitional case, apparently before Huawei v ZTE, and the offer was not required to have been made before the lawsuit.
Seite 36, e).
Reply:
    Used to be Yes*</t>
      </text>
    </comment>
    <comment ref="AE41" authorId="448" shapeId="0" xr:uid="{7C68B184-A6BE-4BC9-86DC-D6F1DB3BC1BE}">
      <text>
        <t>[Threaded comment]
Your version of Excel allows you to read this threaded comment; however, any edits to it will get removed if the file is opened in a newer version of Excel. Learn more: https://go.microsoft.com/fwlink/?linkid=870924
Comment:
    Seite 36, e).</t>
      </text>
    </comment>
    <comment ref="AF41" authorId="449" shapeId="0" xr:uid="{95699A66-523C-402B-A040-21444F92F5A0}">
      <text>
        <t>[Threaded comment]
Your version of Excel allows you to read this threaded comment; however, any edits to it will get removed if the file is opened in a newer version of Excel. Learn more: https://go.microsoft.com/fwlink/?linkid=870924
Comment:
    Seite 5</t>
      </text>
    </comment>
    <comment ref="AG41" authorId="450" shapeId="0" xr:uid="{426269BC-B439-481E-9B0A-7C9AAC64A677}">
      <text>
        <t>[Threaded comment]
Your version of Excel allows you to read this threaded comment; however, any edits to it will get removed if the file is opened in a newer version of Excel. Learn more: https://go.microsoft.com/fwlink/?linkid=870924
Comment:
    Seite 36, e).</t>
      </text>
    </comment>
    <comment ref="AP41" authorId="451" shapeId="0" xr:uid="{9E67DBA7-42CD-4711-9FE9-1B2B79B6B0EC}">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AS41" authorId="452" shapeId="0" xr:uid="{68E651B4-0E5B-4A80-8AD8-988ED267462B}">
      <text>
        <t>[Threaded comment]
Your version of Excel allows you to read this threaded comment; however, any edits to it will get removed if the file is opened in a newer version of Excel. Learn more: https://go.microsoft.com/fwlink/?linkid=870924
Comment:
    Darts</t>
      </text>
    </comment>
    <comment ref="S42" authorId="453" shapeId="0" xr:uid="{D8F01618-E378-476B-9773-A25B6AC8DE3B}">
      <text>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text>
    </comment>
    <comment ref="W42" authorId="454" shapeId="0" xr:uid="{6242520F-5886-43BC-A3AC-8451305B27E0}">
      <text>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text>
    </comment>
    <comment ref="Y42" authorId="455" shapeId="0" xr:uid="{DF43F2D8-6C96-475C-B93F-54AF906A335D}">
      <text>
        <t>[Threaded comment]
Your version of Excel allows you to read this threaded comment; however, any edits to it will get removed if the file is opened in a newer version of Excel. Learn more: https://go.microsoft.com/fwlink/?linkid=870924
Comment:
    Seite 23, 2.</t>
      </text>
    </comment>
    <comment ref="Z42" authorId="456" shapeId="0" xr:uid="{8B5883FF-1EC1-4B6D-857D-1015E6E5ABE0}">
      <text>
        <t xml:space="preserve">[Threaded comment]
Your version of Excel allows you to read this threaded comment; however, any edits to it will get removed if the file is opened in a newer version of Excel. Learn more: https://go.microsoft.com/fwlink/?linkid=870924
Comment:
    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
      </text>
    </comment>
    <comment ref="AB42" authorId="457" shapeId="0" xr:uid="{AEF55E17-00D1-4DBD-AC61-76D68D814A05}">
      <text>
        <t>[Threaded comment]
Your version of Excel allows you to read this threaded comment; however, any edits to it will get removed if the file is opened in a newer version of Excel. Learn more: https://go.microsoft.com/fwlink/?linkid=870924
Comment:
    Seite 30, d).</t>
      </text>
    </comment>
    <comment ref="AC42" authorId="458" shapeId="0" xr:uid="{0F868D68-C18E-43F1-9342-369DD298D03A}">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30, d).</t>
      </text>
    </comment>
    <comment ref="AD42" authorId="459" shapeId="0" xr:uid="{83DE3443-701B-4359-A417-CDAC6556D5A0}">
      <text>
        <t>[Threaded comment]
Your version of Excel allows you to read this threaded comment; however, any edits to it will get removed if the file is opened in a newer version of Excel. Learn more: https://go.microsoft.com/fwlink/?linkid=870924
Comment:
    Seite 30, d).</t>
      </text>
    </comment>
    <comment ref="AE42" authorId="460" shapeId="0" xr:uid="{89CCD304-5A5D-4E05-A03F-425A201699D5}">
      <text>
        <t>[Threaded comment]
Your version of Excel allows you to read this threaded comment; however, any edits to it will get removed if the file is opened in a newer version of Excel. Learn more: https://go.microsoft.com/fwlink/?linkid=870924
Comment:
    Seite 30, d).</t>
      </text>
    </comment>
    <comment ref="AG42" authorId="461" shapeId="0" xr:uid="{53998905-7620-4B78-8A19-2DDC9CD80B79}">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29, dd).
Reply:
    Used to be Yes?</t>
      </text>
    </comment>
    <comment ref="AP42" authorId="462" shapeId="0" xr:uid="{FB5A5662-B8B6-462D-A857-8C4530C0B236}">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AS42" authorId="463" shapeId="0" xr:uid="{3D88C699-8DB7-4C56-ADC8-E017155A10BE}">
      <text>
        <t>[Threaded comment]
Your version of Excel allows you to read this threaded comment; however, any edits to it will get removed if the file is opened in a newer version of Excel. Learn more: https://go.microsoft.com/fwlink/?linkid=870924
Comment:
    Darts</t>
      </text>
    </comment>
    <comment ref="S43" authorId="464" shapeId="0" xr:uid="{C3E39C0F-BA72-4543-BB27-23F1CA4E6D5F}">
      <text>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text>
    </comment>
    <comment ref="W43" authorId="465" shapeId="0" xr:uid="{6070B5E8-D321-415D-8506-9DF0DF6501D4}">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text>
    </comment>
    <comment ref="Y43" authorId="466" shapeId="0" xr:uid="{65A01417-65CA-43B9-A015-EEAE8D8CEF62}">
      <text>
        <t>[Threaded comment]
Your version of Excel allows you to read this threaded comment; however, any edits to it will get removed if the file is opened in a newer version of Excel. Learn more: https://go.microsoft.com/fwlink/?linkid=870924
Comment:
    Seite 27, I.</t>
      </text>
    </comment>
    <comment ref="Z43" authorId="467" shapeId="0" xr:uid="{AD75846A-2672-4D35-9C13-BE9A7F9AFD3F}">
      <text>
        <t xml:space="preserve">[Threaded comment]
Your version of Excel allows you to read this threaded comment; however, any edits to it will get removed if the file is opened in a newer version of Excel. Learn more: https://go.microsoft.com/fwlink/?linkid=870924
Comment:
    Seite 31.
Angesichts dieser Umstände kann der Klägerin nicht vorgeworfen werden, sie würde durch die Erhebung der Klage eine marktbeherrschende Stellung missbrauchen und kartellrechtswidrigen Druck aufbauen. </t>
      </text>
    </comment>
    <comment ref="AB43" authorId="468" shapeId="0" xr:uid="{C3580CD2-350C-4B78-9A71-A2C72BC5121D}">
      <text>
        <t>[Threaded comment]
Your version of Excel allows you to read this threaded comment; however, any edits to it will get removed if the file is opened in a newer version of Excel. Learn more: https://go.microsoft.com/fwlink/?linkid=870924
Comment:
    Seite 29, b).</t>
      </text>
    </comment>
    <comment ref="AC43" authorId="469" shapeId="0" xr:uid="{EFF682F4-7443-4620-8F37-AF4F5DB7E15C}">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34, d).</t>
      </text>
    </comment>
    <comment ref="AD43" authorId="470" shapeId="0" xr:uid="{4E31A563-477E-4127-80CF-A8CB0E4B6DC1}">
      <text>
        <t>[Threaded comment]
Your version of Excel allows you to read this threaded comment; however, any edits to it will get removed if the file is opened in a newer version of Excel. Learn more: https://go.microsoft.com/fwlink/?linkid=870924
Comment:
    Seite 34, d).</t>
      </text>
    </comment>
    <comment ref="AE43" authorId="471" shapeId="0" xr:uid="{76B9BED2-551F-449C-9E34-CD5AAFC1084B}">
      <text>
        <t>[Threaded comment]
Your version of Excel allows you to read this threaded comment; however, any edits to it will get removed if the file is opened in a newer version of Excel. Learn more: https://go.microsoft.com/fwlink/?linkid=870924
Comment:
    Seite 34, d).</t>
      </text>
    </comment>
    <comment ref="AG43" authorId="472" shapeId="0" xr:uid="{92A53489-7A5E-409D-B241-B982661AEC06}">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33, dd).
Reply:
    Used to be Yes?</t>
      </text>
    </comment>
    <comment ref="AP43" authorId="473" shapeId="0" xr:uid="{0400429E-9722-4427-B969-B47943577E5B}">
      <text>
        <t>[Threaded comment]
Your version of Excel allows you to read this threaded comment; however, any edits to it will get removed if the file is opened in a newer version of Excel. Learn more: https://go.microsoft.com/fwlink/?linkid=870924
Comment:
    Replacement of claims 1 to 10.</t>
      </text>
    </comment>
    <comment ref="S44" authorId="474" shapeId="0" xr:uid="{4721B627-141F-4CBA-AE87-E8C6245C5484}">
      <text>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text>
    </comment>
    <comment ref="W44" authorId="475" shapeId="0" xr:uid="{4CAF9C74-A508-45A7-AC23-5F3B708A790D}">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text>
    </comment>
    <comment ref="Y44" authorId="476" shapeId="0" xr:uid="{6F725F88-C3DC-4C7B-83E6-2FA8CD17D0D2}">
      <text>
        <t>[Threaded comment]
Your version of Excel allows you to read this threaded comment; however, any edits to it will get removed if the file is opened in a newer version of Excel. Learn more: https://go.microsoft.com/fwlink/?linkid=870924
Comment:
    Seite 25, 2.</t>
      </text>
    </comment>
    <comment ref="Z44" authorId="477" shapeId="0" xr:uid="{7A2EE329-9981-4127-AF6A-98EAF162CA3F}">
      <text>
        <t xml:space="preserve">[Threaded comment]
Your version of Excel allows you to read this threaded comment; however, any edits to it will get removed if the file is opened in a newer version of Excel. Learn more: https://go.microsoft.com/fwlink/?linkid=870924
Comment:
    Seite 30.
Angesichts dieser Umstände kann der Klägerin nicht vorgeworfen werden, sie würde durch die Erhebung der Klage eine marktbeherrschende Stellung missbrauchen und kartellrechtswidrigen Druck aufbauen. </t>
      </text>
    </comment>
    <comment ref="AB44" authorId="478" shapeId="0" xr:uid="{AAD5434A-9305-486A-B847-9E383B0A9558}">
      <text>
        <t>[Threaded comment]
Your version of Excel allows you to read this threaded comment; however, any edits to it will get removed if the file is opened in a newer version of Excel. Learn more: https://go.microsoft.com/fwlink/?linkid=870924
Comment:
    Siete 33, d).</t>
      </text>
    </comment>
    <comment ref="AC44" authorId="479" shapeId="0" xr:uid="{4F4C28F7-DF5E-48DF-8800-B23688A9BC52}">
      <text>
        <t>[Threaded comment]
Your version of Excel allows you to read this threaded comment; however, any edits to it will get removed if the file is opened in a newer version of Excel. Learn more: https://go.microsoft.com/fwlink/?linkid=870924
Comment:
    No need to go through the offer (FRAND or not) because the defendant was not a willing licensee.
Seite 33, d).</t>
      </text>
    </comment>
    <comment ref="AD44" authorId="480" shapeId="0" xr:uid="{A979EA58-05A0-4FD4-8DB7-4DA4A36BDCA2}">
      <text>
        <t>[Threaded comment]
Your version of Excel allows you to read this threaded comment; however, any edits to it will get removed if the file is opened in a newer version of Excel. Learn more: https://go.microsoft.com/fwlink/?linkid=870924
Comment:
    Seite 33, d).</t>
      </text>
    </comment>
    <comment ref="AE44" authorId="481" shapeId="0" xr:uid="{B5CCBBDE-C2B0-4F03-85BB-46F2C2E1B577}">
      <text>
        <t>[Threaded comment]
Your version of Excel allows you to read this threaded comment; however, any edits to it will get removed if the file is opened in a newer version of Excel. Learn more: https://go.microsoft.com/fwlink/?linkid=870924
Comment:
    Seite 33, d).</t>
      </text>
    </comment>
    <comment ref="AG44" authorId="482" shapeId="0" xr:uid="{6878A100-0012-436D-B0FC-26A02624FDE7}">
      <text>
        <t>[Threaded comment]
Your version of Excel allows you to read this threaded comment; however, any edits to it will get removed if the file is opened in a newer version of Excel. Learn more: https://go.microsoft.com/fwlink/?linkid=870924
Comment:
    Seite 4.
Die Klägerin ist ein weltweit operierendes Elektronikunternehmen, das u.a. auf dem Gebiet der Mobilfunktechnologie zahlreiche Patente hält. 
Seite 32, dd).
Reply:
    Used to be Yes?</t>
      </text>
    </comment>
    <comment ref="E45" authorId="483" shapeId="0" xr:uid="{87D1E195-CAB7-43AC-A9E6-F793840A9045}">
      <text>
        <t>[Threaded comment]
Your version of Excel allows you to read this threaded comment; however, any edits to it will get removed if the file is opened in a newer version of Excel. Learn more: https://go.microsoft.com/fwlink/?linkid=870924
Comment:
    Siete 33, VI.</t>
      </text>
    </comment>
    <comment ref="S45" authorId="484" shapeId="0" xr:uid="{1D0B8B80-96A1-4C77-8DC1-005CF360D60F}">
      <text>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text>
    </comment>
    <comment ref="W45" authorId="485" shapeId="0" xr:uid="{7D15FF35-6C78-4AE0-8C4E-412132A9048D}">
      <text>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text>
    </comment>
    <comment ref="Y45" authorId="486" shapeId="0" xr:uid="{50CF8117-4937-4023-BB7A-1566B600871F}">
      <text>
        <t>[Threaded comment]
Your version of Excel allows you to read this threaded comment; however, any edits to it will get removed if the file is opened in a newer version of Excel. Learn more: https://go.microsoft.com/fwlink/?linkid=870924
Comment:
    Seite 24, V. 1.</t>
      </text>
    </comment>
    <comment ref="Z45" authorId="487" shapeId="0" xr:uid="{8E338628-572D-4817-9A2A-FB1EFBF9A91E}">
      <text>
        <t>[Threaded comment]
Your version of Excel allows you to read this threaded comment; however, any edits to it will get removed if the file is opened in a newer version of Excel. Learn more: https://go.microsoft.com/fwlink/?linkid=870924
Comment:
    YES
Justus</t>
      </text>
    </comment>
    <comment ref="AB45" authorId="488" shapeId="0" xr:uid="{0B75DEFD-6EFF-4BE0-BDD1-EDC910FB311D}">
      <text>
        <t>[Threaded comment]
Your version of Excel allows you to read this threaded comment; however, any edits to it will get removed if the file is opened in a newer version of Excel. Learn more: https://go.microsoft.com/fwlink/?linkid=870924
Comment:
    Seite 32, d).</t>
      </text>
    </comment>
    <comment ref="AC45" authorId="489" shapeId="0" xr:uid="{7E3C3834-90E3-4F70-8DFA-4D2818CEADBF}">
      <text>
        <t>[Threaded comment]
Your version of Excel allows you to read this threaded comment; however, any edits to it will get removed if the file is opened in a newer version of Excel. Learn more: https://go.microsoft.com/fwlink/?linkid=870924
Comment:
    Seite 33.</t>
      </text>
    </comment>
    <comment ref="AD45" authorId="490" shapeId="0" xr:uid="{D8D6515D-E62A-45E2-A152-FB85A22B760E}">
      <text>
        <t>[Threaded comment]
Your version of Excel allows you to read this threaded comment; however, any edits to it will get removed if the file is opened in a newer version of Excel. Learn more: https://go.microsoft.com/fwlink/?linkid=870924
Comment:
    Seite 31, c).</t>
      </text>
    </comment>
    <comment ref="AE45" authorId="491" shapeId="0" xr:uid="{85C81414-F00F-44C1-9813-5D57EA6A17D9}">
      <text>
        <t>[Threaded comment]
Your version of Excel allows you to read this threaded comment; however, any edits to it will get removed if the file is opened in a newer version of Excel. Learn more: https://go.microsoft.com/fwlink/?linkid=870924
Comment:
    Seite 33.</t>
      </text>
    </comment>
    <comment ref="AG45" authorId="492" shapeId="0" xr:uid="{3D10BC6C-8EB6-4258-A7AA-85BE3B448440}">
      <text>
        <t>[Threaded comment]
Your version of Excel allows you to read this threaded comment; however, any edits to it will get removed if the file is opened in a newer version of Excel. Learn more: https://go.microsoft.com/fwlink/?linkid=870924
Comment:
    Seite 3.
Seite 24, 4.</t>
      </text>
    </comment>
    <comment ref="AP45" authorId="493" shapeId="0" xr:uid="{EA98DEB3-31EC-49A4-9C04-0C9FE01600B4}">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S46" authorId="494" shapeId="0" xr:uid="{0DA2E549-7929-48DF-8914-10C7F2865292}">
      <text>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text>
    </comment>
    <comment ref="W46" authorId="495" shapeId="0" xr:uid="{D8900D72-25D4-4135-ACE8-E5E795FC76EE}">
      <text>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text>
    </comment>
    <comment ref="Y46" authorId="496" shapeId="0" xr:uid="{BF41718C-37D3-438C-867B-700E32205D44}">
      <text>
        <t>[Threaded comment]
Your version of Excel allows you to read this threaded comment; however, any edits to it will get removed if the file is opened in a newer version of Excel. Learn more: https://go.microsoft.com/fwlink/?linkid=870924
Comment:
    Seite 32, E.</t>
      </text>
    </comment>
    <comment ref="Z46" authorId="497" shapeId="0" xr:uid="{B22F235B-A8FD-4F8F-A99A-94B6CF4A57C9}">
      <text>
        <t>[Threaded comment]
Your version of Excel allows you to read this threaded comment; however, any edits to it will get removed if the file is opened in a newer version of Excel. Learn more: https://go.microsoft.com/fwlink/?linkid=870924
Comment:
    Seite 32, E.
Seite 32, E. I.
Seite 34, II.</t>
      </text>
    </comment>
    <comment ref="AA46" authorId="498" shapeId="0" xr:uid="{A624C72D-1EB0-435E-9FFC-60C82C483CD2}">
      <text>
        <t>[Threaded comment]
Your version of Excel allows you to read this threaded comment; however, any edits to it will get removed if the file is opened in a newer version of Excel. Learn more: https://go.microsoft.com/fwlink/?linkid=870924
Comment:
    Seite 34, II. 2.
v
Seite 32, E.</t>
      </text>
    </comment>
    <comment ref="AB46" authorId="499" shapeId="0" xr:uid="{7E130F33-B8B5-4641-985E-A6B814F47E02}">
      <text>
        <t>[Threaded comment]
Your version of Excel allows you to read this threaded comment; however, any edits to it will get removed if the file is opened in a newer version of Excel. Learn more: https://go.microsoft.com/fwlink/?linkid=870924
Comment:
    Seite 34, II. 1.</t>
      </text>
    </comment>
    <comment ref="AC46" authorId="500" shapeId="0" xr:uid="{9B216D45-3519-4534-8F68-7073E1686B1B}">
      <text>
        <t>[Threaded comment]
Your version of Excel allows you to read this threaded comment; however, any edits to it will get removed if the file is opened in a newer version of Excel. Learn more: https://go.microsoft.com/fwlink/?linkid=870924
Comment:
    Seite 34, II. 2. a).
Seite 35, bb).</t>
      </text>
    </comment>
    <comment ref="AD46" authorId="501" shapeId="0" xr:uid="{79BF3DD7-17BD-424E-8B85-524608DA7006}">
      <text>
        <t>[Threaded comment]
Your version of Excel allows you to read this threaded comment; however, any edits to it will get removed if the file is opened in a newer version of Excel. Learn more: https://go.microsoft.com/fwlink/?linkid=870924
Comment:
    Seite 33?
I found reasons for the content, but no mention of formal reasons to not treat is as a FRAND offer. Apparently the offer is not considered to be delayed.
Reply:
    Seite 34, II. 2. a).
Reply:
    Mention that the offer of the plaintiff does not meet the FRAND criteria, which makes me believe it is more of a Non-Formal rather than a Non-Substantial.
Reply:
    Seite 35, bb).
They identify a paragraph from the offer to be fair nor appropriate. That seems to be more formal than substantial.</t>
      </text>
    </comment>
    <comment ref="AE46" authorId="502" shapeId="0" xr:uid="{19CF3F93-55A8-4BAF-9003-B021E507A2E7}">
      <text>
        <t>[Threaded comment]
Your version of Excel allows you to read this threaded comment; however, any edits to it will get removed if the file is opened in a newer version of Excel. Learn more: https://go.microsoft.com/fwlink/?linkid=870924
Comment:
    Seite 33.
Seite 34, II. 2.</t>
      </text>
    </comment>
    <comment ref="AG46" authorId="503" shapeId="0" xr:uid="{6302D8D7-A32A-4DCF-BD5C-C7F27C48BB96}">
      <text>
        <t>[Threaded comment]
Your version of Excel allows you to read this threaded comment; however, any edits to it will get removed if the file is opened in a newer version of Excel. Learn more: https://go.microsoft.com/fwlink/?linkid=870924
Comment:
    Seite 37, (4)</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tc={EDDFF372-CD93-4DF0-972E-763D987ED9E2}</author>
    <author>tc={66FD8162-B778-45A5-ACB4-ABA69E538C05}</author>
    <author>tc={07111C3F-D031-45ED-9BC1-4520F3AC3AC0}</author>
    <author>tc={7CAEA0D8-6BB1-402E-B87E-42F6D111A15D}</author>
    <author>tc={B607CFBB-3F78-47FD-B388-682D9117A20D}</author>
    <author>tc={0DF9FD58-AD09-4ED3-AE3C-24B2AF682156}</author>
    <author>tc={DCD685DC-4274-4123-BDEE-0BFE01FEEA3B}</author>
    <author>tc={E69A17D2-EBAF-4E57-B8CC-A0F2835936DA}</author>
    <author>tc={BDBCFF0F-26C4-47AC-9623-88DD675AB585}</author>
    <author>tc={52D53C8D-94B1-4B6A-856A-E75AAD34E289}</author>
    <author>tc={A97C5751-A0A0-46FF-B338-ED28055DCCFB}</author>
    <author>tc={C466A185-D23D-41F5-97F3-25F696544904}</author>
    <author>tc={F5560981-2F1C-4D60-9D80-D75488684441}</author>
    <author>tc={1BF66659-1183-44A7-B215-7BA88CA48F5D}</author>
    <author>tc={54E97819-B871-46FA-82AF-AFF242877D60}</author>
    <author>tc={B84E0BEA-F15B-4BDF-A991-AE4231521BBD}</author>
    <author>tc={0CA0683F-3138-45E4-9C9C-ECD3E741D26C}</author>
    <author>tc={196D9FD7-8CD7-4015-8E4C-2BB5379F2E6F}</author>
    <author>tc={C4DC86C9-EB48-439D-8A26-0FD3BEACD03F}</author>
    <author>tc={650FA1EE-E4E7-4F7C-BA5B-0A9776152DC0}</author>
    <author>tc={FD196DFD-1218-415B-8818-437D63685F33}</author>
    <author>tc={24916E09-6841-4EE6-AD3A-80B6C6C2A3FF}</author>
    <author>tc={D784AC77-7234-46C3-98C1-D237D17D532C}</author>
    <author>tc={B0E727F0-EAD4-4B65-928A-CEA31E6DA2F0}</author>
    <author>tc={CCD5ECBC-950E-4A4B-9179-E50BAA44DAEC}</author>
    <author>tc={8BC52B21-EEDA-4322-9C73-BD971CA90C6E}</author>
  </authors>
  <commentList>
    <comment ref="B1" authorId="0" shapeId="0" xr:uid="{EDDFF372-CD93-4DF0-972E-763D987ED9E2}">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C1" authorId="1" shapeId="0" xr:uid="{66FD8162-B778-45A5-ACB4-ABA69E538C05}">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X1" authorId="2" shapeId="0" xr:uid="{07111C3F-D031-45ED-9BC1-4520F3AC3AC0}">
      <text>
        <t>[Threaded comment]
Your version of Excel allows you to read this threaded comment; however, any edits to it will get removed if the file is opened in a newer version of Excel. Learn more: https://go.microsoft.com/fwlink/?linkid=870924
Comment:
    Der Antrag auf Erlass einer einstweiligen Verfügung ist zulässig (I.) und begründet (II). 
Reply:
    Bei den in § 33 Abs. 1 GWB geregelten Unterlassungs- und Beseitigungsansprüchen handelt
es sich um Ansprüche aus unerlaubter Handlung.</t>
      </text>
    </comment>
    <comment ref="Y1" authorId="3" shapeId="0" xr:uid="{7CAEA0D8-6BB1-402E-B87E-42F6D111A15D}">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AM2" authorId="4" shapeId="0" xr:uid="{B607CFBB-3F78-47FD-B388-682D9117A20D}">
      <text>
        <t>[Threaded comment]
Your version of Excel allows you to read this threaded comment; however, any edits to it will get removed if the file is opened in a newer version of Excel. Learn more: https://go.microsoft.com/fwlink/?linkid=870924
Comment:
    Hardcoded</t>
      </text>
    </comment>
    <comment ref="AN6" authorId="5" shapeId="0" xr:uid="{0DF9FD58-AD09-4ED3-AE3C-24B2AF682156}">
      <text>
        <t>[Threaded comment]
Your version of Excel allows you to read this threaded comment; however, any edits to it will get removed if the file is opened in a newer version of Excel. Learn more: https://go.microsoft.com/fwlink/?linkid=870924
Comment:
    Hardcoded</t>
      </text>
    </comment>
    <comment ref="AG10" authorId="6" shapeId="0" xr:uid="{DCD685DC-4274-4123-BDEE-0BFE01FEEA3B}">
      <text>
        <t>[Threaded comment]
Your version of Excel allows you to read this threaded comment; however, any edits to it will get removed if the file is opened in a newer version of Excel. Learn more: https://go.microsoft.com/fwlink/?linkid=870924
Comment:
    Check</t>
      </text>
    </comment>
    <comment ref="AH10" authorId="7" shapeId="0" xr:uid="{E69A17D2-EBAF-4E57-B8CC-A0F2835936DA}">
      <text>
        <t>[Threaded comment]
Your version of Excel allows you to read this threaded comment; however, any edits to it will get removed if the file is opened in a newer version of Excel. Learn more: https://go.microsoft.com/fwlink/?linkid=870924
Comment:
    Check</t>
      </text>
    </comment>
    <comment ref="AF13" authorId="8" shapeId="0" xr:uid="{BDBCFF0F-26C4-47AC-9623-88DD675AB585}">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AG13" authorId="9" shapeId="0" xr:uid="{52D53C8D-94B1-4B6A-856A-E75AAD34E289}">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AH13" authorId="10" shapeId="0" xr:uid="{A97C5751-A0A0-46FF-B338-ED28055DCCFB}">
      <text>
        <t xml:space="preserve">[Threaded comment]
Your version of Excel allows you to read this threaded comment; however, any edits to it will get removed if the file is opened in a newer version of Excel. Learn more: https://go.microsoft.com/fwlink/?linkid=870924
Comment:
    check
Reply:
    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
      </text>
    </comment>
    <comment ref="D35" authorId="11" shapeId="0" xr:uid="{C466A185-D23D-41F5-97F3-25F696544904}">
      <text>
        <t>[Threaded comment]
Your version of Excel allows you to read this threaded comment; however, any edits to it will get removed if the file is opened in a newer version of Excel. Learn more: https://go.microsoft.com/fwlink/?linkid=870924
Comment:
    BESCHLUSSVERFÜGUNG ZUM GEHEIMNISSCHUTZ IN DEUTSCHEN VERLETZUNGSPROZESSEN. UNTERLASSUNGSVERTRAG AUS SEP PROZESS VERHINDERT, DASS UMFASSTE INFORMATIONEN IN PARALLELVERFAHREN EINGEFÜHRT WERDEN KÖNNEN. 
Reply:
    NO</t>
      </text>
    </comment>
    <comment ref="Q36" authorId="12" shapeId="0" xr:uid="{F5560981-2F1C-4D60-9D80-D75488684441}">
      <text>
        <t xml:space="preserve">[Threaded comment]
Your version of Excel allows you to read this threaded comment; however, any edits to it will get removed if the file is opened in a newer version of Excel. Learn more: https://go.microsoft.com/fwlink/?linkid=870924
Comment:
    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
      </text>
    </comment>
    <comment ref="S36" authorId="13" shapeId="0" xr:uid="{1BF66659-1183-44A7-B215-7BA88CA48F5D}">
      <text>
        <t>[Threaded comment]
Your version of Excel allows you to read this threaded comment; however, any edits to it will get removed if the file is opened in a newer version of Excel. Learn more: https://go.microsoft.com/fwlink/?linkid=870924
Comment:
    .99
.147</t>
      </text>
    </comment>
    <comment ref="V36" authorId="14" shapeId="0" xr:uid="{54E97819-B871-46FA-82AF-AFF242877D60}">
      <text>
        <t>[Threaded comment]
Your version of Excel allows you to read this threaded comment; however, any edits to it will get removed if the file is opened in a newer version of Excel. Learn more: https://go.microsoft.com/fwlink/?linkid=870924
Comment:
    .99
.147</t>
      </text>
    </comment>
    <comment ref="X36" authorId="15" shapeId="0" xr:uid="{B84E0BEA-F15B-4BDF-A991-AE4231521BBD}">
      <text>
        <t>[Threaded comment]
Your version of Excel allows you to read this threaded comment; however, any edits to it will get removed if the file is opened in a newer version of Excel. Learn more: https://go.microsoft.com/fwlink/?linkid=870924
Comment:
    .122
.128</t>
      </text>
    </comment>
    <comment ref="Y36" authorId="16" shapeId="0" xr:uid="{0CA0683F-3138-45E4-9C9C-ECD3E741D26C}">
      <text>
        <t>[Threaded comment]
Your version of Excel allows you to read this threaded comment; however, any edits to it will get removed if the file is opened in a newer version of Excel. Learn more: https://go.microsoft.com/fwlink/?linkid=870924
Comment:
    .128</t>
      </text>
    </comment>
    <comment ref="Z36" authorId="17" shapeId="0" xr:uid="{196D9FD7-8CD7-4015-8E4C-2BB5379F2E6F}">
      <text>
        <t>[Threaded comment]
Your version of Excel allows you to read this threaded comment; however, any edits to it will get removed if the file is opened in a newer version of Excel. Learn more: https://go.microsoft.com/fwlink/?linkid=870924
Comment:
    .99
.147</t>
      </text>
    </comment>
    <comment ref="AA36" authorId="18" shapeId="0" xr:uid="{C4DC86C9-EB48-439D-8A26-0FD3BEACD03F}">
      <text>
        <t>[Threaded comment]
Your version of Excel allows you to read this threaded comment; however, any edits to it will get removed if the file is opened in a newer version of Excel. Learn more: https://go.microsoft.com/fwlink/?linkid=870924
Comment:
    .99
.121
.130-.134
.149
.157</t>
      </text>
    </comment>
    <comment ref="AB36" authorId="19" shapeId="0" xr:uid="{650FA1EE-E4E7-4F7C-BA5B-0A9776152DC0}">
      <text>
        <t>[Threaded comment]
Your version of Excel allows you to read this threaded comment; however, any edits to it will get removed if the file is opened in a newer version of Excel. Learn more: https://go.microsoft.com/fwlink/?linkid=870924
Comment:
    .127
.148
v
.257</t>
      </text>
    </comment>
    <comment ref="AC36" authorId="20" shapeId="0" xr:uid="{FD196DFD-1218-415B-8818-437D63685F33}">
      <text>
        <t>[Threaded comment]
Your version of Excel allows you to read this threaded comment; however, any edits to it will get removed if the file is opened in a newer version of Excel. Learn more: https://go.microsoft.com/fwlink/?linkid=870924
Comment:
    .127
.148
v
.257</t>
      </text>
    </comment>
    <comment ref="AD36" authorId="21" shapeId="0" xr:uid="{24916E09-6841-4EE6-AD3A-80B6C6C2A3FF}">
      <text>
        <t>[Threaded comment]
Your version of Excel allows you to read this threaded comment; however, any edits to it will get removed if the file is opened in a newer version of Excel. Learn more: https://go.microsoft.com/fwlink/?linkid=870924
Comment:
    .127
.148
v
.257</t>
      </text>
    </comment>
    <comment ref="AE36" authorId="22" shapeId="0" xr:uid="{D784AC77-7234-46C3-98C1-D237D17D532C}">
      <text>
        <t>[Threaded comment]
Your version of Excel allows you to read this threaded comment; however, any edits to it will get removed if the file is opened in a newer version of Excel. Learn more: https://go.microsoft.com/fwlink/?linkid=870924
Comment:
    .16
.98
.146
.149</t>
      </text>
    </comment>
    <comment ref="AF36" authorId="23" shapeId="0" xr:uid="{B0E727F0-EAD4-4B65-928A-CEA31E6DA2F0}">
      <text>
        <t>[Threaded comment]
Your version of Excel allows you to read this threaded comment; however, any edits to it will get removed if the file is opened in a newer version of Excel. Learn more: https://go.microsoft.com/fwlink/?linkid=870924
Comment:
    .144
And Avanci is the pool</t>
      </text>
    </comment>
    <comment ref="A37" authorId="24" shapeId="0" xr:uid="{CCD5ECBC-950E-4A4B-9179-E50BAA44DAEC}">
      <text>
        <t>[Threaded comment]
Your version of Excel allows you to read this threaded comment; however, any edits to it will get removed if the file is opened in a newer version of Excel. Learn more: https://go.microsoft.com/fwlink/?linkid=870924
Comment:
    Proportionality defense
Reply:
    No FRAND defense</t>
      </text>
    </comment>
    <comment ref="AI38" authorId="25" shapeId="0" xr:uid="{8BC52B21-EEDA-4322-9C73-BD971CA90C6E}">
      <text>
        <t>[Threaded comment]
Your version of Excel allows you to read this threaded comment; however, any edits to it will get removed if the file is opened in a newer version of Excel. Learn more: https://go.microsoft.com/fwlink/?linkid=870924
Comment:
    Apparently, upheld (same winners and losers)</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tc={915C8596-E41E-4387-8E41-48B4CECA1E37}</author>
    <author>tc={3395C403-A6C8-41D2-AB5A-F741B43E96BF}</author>
    <author>tc={0E04735B-33B8-4E0E-B8D1-14506178787A}</author>
    <author>tc={763B9050-1C66-48CD-AB7A-62557A21D0CE}</author>
    <author>tc={BECAD737-68E4-4735-932A-FEE04AA10BC8}</author>
    <author>tc={D50EBEF3-37FB-49A7-B9E6-C4E30EF6E1C1}</author>
    <author>tc={693A7B7D-3EED-49ED-B964-91ACE6A62AA6}</author>
    <author>tc={BA51A8B7-AFBF-4420-8EA2-CD570887F189}</author>
    <author>tc={67A7B4F1-70FD-43F2-A444-748A472A8F32}</author>
    <author>tc={E9A1D032-71AA-4BCF-80E4-EB9DB7D0E351}</author>
    <author>tc={8FABD2C6-7024-4E69-801B-B96CA7D37A86}</author>
    <author>tc={E5F146BF-9424-420F-9FB5-33CD87769BAF}</author>
    <author>tc={C36E35AD-5F37-4244-BDDF-3ADA5A61E62F}</author>
    <author>tc={5476C880-FE11-4D72-B473-9A1E20B070EC}</author>
    <author>tc={6982DC61-58CD-4B05-AB4F-CC08DB37D970}</author>
    <author>tc={0117148B-DD4F-4DFC-A49B-3A31207ED12E}</author>
    <author>tc={12AA17AF-AA30-452D-A08F-543FC090FECC}</author>
    <author>tc={E4A45B6E-0736-4C6D-AF9D-DAE9FCBD2406}</author>
    <author>tc={761B2507-7450-46E8-93A9-0467D739DC63}</author>
    <author>tc={71E49223-894A-4DA7-A095-4A35F88EB49B}</author>
    <author>tc={8E8AD0C9-EECE-4BFA-BFF3-6C26492A7E50}</author>
    <author>tc={32534AD0-EF40-4E1B-9943-936F2B716867}</author>
    <author>tc={D041C9A6-D486-47B2-B26F-929E37E94E84}</author>
    <author>tc={06649A3B-121A-4E57-BAA3-960C880FFBF2}</author>
    <author>tc={1E133940-D3A3-4F32-A0B9-11C3CE31EF8B}</author>
    <author>tc={1852E21B-B729-4985-9B61-CA61D7CCF41B}</author>
    <author>tc={E4EEB7C0-08E9-42A9-843D-C384749C21A3}</author>
    <author>tc={10ABD24C-0BB4-4257-B379-9619A034FD19}</author>
    <author>tc={7CF6C239-842A-440F-B24D-10163D2D0923}</author>
    <author>tc={C500AAE0-F245-4020-99E8-10E037695368}</author>
    <author>tc={F5B4C418-6555-4991-9A85-1B5E21D99A4A}</author>
    <author>tc={FB896350-1B13-4AD2-9D95-1F8B0C342F58}</author>
    <author>tc={7BC21219-4714-48C3-9B36-D011F10A33B3}</author>
    <author>tc={3CB20C93-D1C7-49B4-8FA8-398322DE739F}</author>
    <author>tc={8521DECB-5132-4EA1-97C1-66A1A9D290A0}</author>
    <author>tc={458569F3-D7A3-493B-890F-FBBC8CD52F48}</author>
    <author>tc={F8E49C8F-5B29-495D-9638-BA3AEE6F85EF}</author>
    <author>tc={6BD58535-9CA4-4761-A440-7FF6E6580A9B}</author>
    <author>tc={E19EC1A0-C73B-4067-904E-FD5F682BEB55}</author>
    <author>tc={C0C9DBE3-A10E-4554-9BBA-A1C927B80660}</author>
    <author>tc={9DEEC312-EF3E-4F40-904B-4437D3612902}</author>
    <author>tc={16E3E0BE-AE5A-41F6-96B1-BF399E3B9BD3}</author>
    <author>tc={C8B05CFF-46CB-47D8-BD80-C716F072FDAB}</author>
    <author>tc={F591BC7A-C8E6-4A39-B759-5213AC171A50}</author>
    <author>tc={B9C3848F-05A1-475C-9024-BACC9E80C470}</author>
    <author>tc={E5F2869B-B065-411C-9BD6-EF1B21303837}</author>
    <author>tc={19330A72-AC6E-4A4E-9075-6FE94FF8B5DE}</author>
    <author>tc={68727E6D-2090-42B3-8646-B201A7504303}</author>
    <author>tc={CF2A2DC3-3287-4CDD-8740-FCE647D8BB90}</author>
    <author>tc={02B3F433-F9CC-4AB0-94DD-84A62A4E432A}</author>
    <author>tc={47447F0E-76DA-4A8E-84A7-66D536B5EF9B}</author>
    <author>tc={A89ED7EA-8957-4A25-8188-ADEC5B313311}</author>
    <author>tc={B25351C2-4E58-44A5-A2D4-6417AC76ECFD}</author>
    <author>tc={84C96787-C341-404E-B21E-94B6BCA2A6B9}</author>
    <author>tc={FE5D4280-90A0-48AD-A63A-A9BB9BCD9416}</author>
    <author>tc={7CE24CC6-FB6A-444C-9C44-92E3E3ADB890}</author>
    <author>tc={7712B981-1EA6-4C02-A3E0-C3D4D5449D7F}</author>
    <author>tc={3C97387B-933E-44C2-BD9C-E7DC53C077C1}</author>
    <author>tc={BD325293-B1EF-4B36-AD71-293350ACBBE5}</author>
    <author>tc={7A298A1F-B6E2-46B6-BF5D-81253E416DB0}</author>
    <author>tc={3BF734DA-B0A4-46D8-A28D-1F3C30D3EE53}</author>
    <author>tc={872E5925-C8D7-4D1B-9D34-F985AFA6EBEF}</author>
    <author>tc={006F4B02-D13F-49E1-B4B4-709BD0164C8E}</author>
    <author>tc={74D6B7BF-2AF8-45F1-AC84-376BA37322A8}</author>
    <author>tc={5C138281-CC73-4742-99EF-CD21E5DCA6C1}</author>
    <author>tc={1747A55B-506F-43B9-83DF-8F10107F57F9}</author>
    <author>tc={B8C305FF-F59A-414A-94B4-2E8B2CD52A8B}</author>
    <author>tc={02A0BBB1-1689-456B-9AFD-D888E55122B9}</author>
    <author>tc={D67CA643-2A2D-41F9-8C6C-0A63F3EBE807}</author>
    <author>tc={AB691DF3-882A-4F92-80DD-83766A725640}</author>
    <author>tc={A2C9F3B7-9635-4501-B35A-47C3F1533436}</author>
    <author>tc={32773D98-9693-427A-89E3-FC968A5FD870}</author>
    <author>tc={8032DBE2-605A-4A16-9786-8BB93B4E82F3}</author>
    <author>tc={85F5BFDF-6328-4103-A4F1-CF925C833CD7}</author>
    <author>tc={882C2178-B17C-495E-B298-7C30C67344EB}</author>
    <author>tc={2BB44D05-7928-42AA-9891-DB9F7FAA570A}</author>
    <author>tc={D80FD525-4C76-4366-B16D-541057A807E4}</author>
    <author>tc={9CC90AED-5BF4-4FE0-89F1-98941AA76A46}</author>
    <author>tc={66CFBA34-B140-45BA-A278-45EF30C9B242}</author>
    <author>tc={E83A15CB-CD66-48EB-A3A5-63A0D540C133}</author>
    <author>tc={B912E535-D675-48D4-938C-671D0D68D93D}</author>
    <author>tc={44250ED0-8A00-4FC3-9168-14DEB552F6D0}</author>
    <author>tc={763B3EEE-5A12-49BF-A104-4CB84D4C71E4}</author>
    <author>tc={1C6EF3DC-1E7E-4F12-B1D4-9A0BC79AF2B0}</author>
    <author>tc={EC739C55-BEC4-420D-9CF9-5D02B9C0F2E6}</author>
    <author>tc={BE39797D-9EDE-4971-A61C-550E959348D8}</author>
    <author>tc={A9C8E43D-0EB6-4E54-9715-D27B884A12A8}</author>
    <author>tc={9B5D5CF9-547F-476A-9D08-8B9184A81EDE}</author>
    <author>tc={891FF218-914C-4630-B497-D077FF40FBAC}</author>
    <author>tc={F51A08C3-02FA-44BE-BE5B-F98B32CB57D1}</author>
    <author>tc={FAB4F2B2-6683-457D-A663-963E75B2AA62}</author>
    <author>tc={76291632-17B6-4565-A576-755EA8F58626}</author>
    <author>tc={2535AC86-5A9E-46DC-9893-8CB51B98FEDF}</author>
    <author>tc={C2606CB1-2525-4408-8991-C28F2D26864F}</author>
    <author>tc={E7262A19-F888-4AAF-AC71-597A26410877}</author>
  </authors>
  <commentList>
    <comment ref="D2" authorId="0" shapeId="0" xr:uid="{915C8596-E41E-4387-8E41-48B4CECA1E37}">
      <text>
        <t>[Threaded comment]
Your version of Excel allows you to read this threaded comment; however, any edits to it will get removed if the file is opened in a newer version of Excel. Learn more: https://go.microsoft.com/fwlink/?linkid=870924
Comment:
    .44</t>
      </text>
    </comment>
    <comment ref="E2" authorId="1" shapeId="0" xr:uid="{3395C403-A6C8-41D2-AB5A-F741B43E96BF}">
      <text>
        <t>[Threaded comment]
Your version of Excel allows you to read this threaded comment; however, any edits to it will get removed if the file is opened in a newer version of Excel. Learn more: https://go.microsoft.com/fwlink/?linkid=870924
Comment:
    .44</t>
      </text>
    </comment>
    <comment ref="C3" authorId="2" shapeId="0" xr:uid="{0E04735B-33B8-4E0E-B8D1-14506178787A}">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D3" authorId="3" shapeId="0" xr:uid="{763B9050-1C66-48CD-AB7A-62557A21D0CE}">
      <text>
        <t>[Threaded comment]
Your version of Excel allows you to read this threaded comment; however, any edits to it will get removed if the file is opened in a newer version of Excel. Learn more: https://go.microsoft.com/fwlink/?linkid=870924
Comment:
    .20</t>
      </text>
    </comment>
    <comment ref="E3" authorId="4" shapeId="0" xr:uid="{BECAD737-68E4-4735-932A-FEE04AA10BC8}">
      <text>
        <t>[Threaded comment]
Your version of Excel allows you to read this threaded comment; however, any edits to it will get removed if the file is opened in a newer version of Excel. Learn more: https://go.microsoft.com/fwlink/?linkid=870924
Comment:
    .20</t>
      </text>
    </comment>
    <comment ref="D4" authorId="5" shapeId="0" xr:uid="{D50EBEF3-37FB-49A7-B9E6-C4E30EF6E1C1}">
      <text>
        <t>[Threaded comment]
Your version of Excel allows you to read this threaded comment; however, any edits to it will get removed if the file is opened in a newer version of Excel. Learn more: https://go.microsoft.com/fwlink/?linkid=870924
Comment:
    .21</t>
      </text>
    </comment>
    <comment ref="E4" authorId="6" shapeId="0" xr:uid="{693A7B7D-3EED-49ED-B964-91ACE6A62AA6}">
      <text>
        <t>[Threaded comment]
Your version of Excel allows you to read this threaded comment; however, any edits to it will get removed if the file is opened in a newer version of Excel. Learn more: https://go.microsoft.com/fwlink/?linkid=870924
Comment:
    .21</t>
      </text>
    </comment>
    <comment ref="D5" authorId="7" shapeId="0" xr:uid="{BA51A8B7-AFBF-4420-8EA2-CD570887F189}">
      <text>
        <t>[Threaded comment]
Your version of Excel allows you to read this threaded comment; however, any edits to it will get removed if the file is opened in a newer version of Excel. Learn more: https://go.microsoft.com/fwlink/?linkid=870924
Comment:
    .24</t>
      </text>
    </comment>
    <comment ref="E5" authorId="8" shapeId="0" xr:uid="{67A7B4F1-70FD-43F2-A444-748A472A8F32}">
      <text>
        <t>[Threaded comment]
Your version of Excel allows you to read this threaded comment; however, any edits to it will get removed if the file is opened in a newer version of Excel. Learn more: https://go.microsoft.com/fwlink/?linkid=870924
Comment:
    .24</t>
      </text>
    </comment>
    <comment ref="D6" authorId="9" shapeId="0" xr:uid="{E9A1D032-71AA-4BCF-80E4-EB9DB7D0E351}">
      <text>
        <t>[Threaded comment]
Your version of Excel allows you to read this threaded comment; however, any edits to it will get removed if the file is opened in a newer version of Excel. Learn more: https://go.microsoft.com/fwlink/?linkid=870924
Comment:
    .24</t>
      </text>
    </comment>
    <comment ref="E6" authorId="10" shapeId="0" xr:uid="{8FABD2C6-7024-4E69-801B-B96CA7D37A86}">
      <text>
        <t>[Threaded comment]
Your version of Excel allows you to read this threaded comment; however, any edits to it will get removed if the file is opened in a newer version of Excel. Learn more: https://go.microsoft.com/fwlink/?linkid=870924
Comment:
    .24</t>
      </text>
    </comment>
    <comment ref="D7" authorId="11" shapeId="0" xr:uid="{E5F146BF-9424-420F-9FB5-33CD87769BAF}">
      <text>
        <t>[Threaded comment]
Your version of Excel allows you to read this threaded comment; however, any edits to it will get removed if the file is opened in a newer version of Excel. Learn more: https://go.microsoft.com/fwlink/?linkid=870924
Comment:
    .27</t>
      </text>
    </comment>
    <comment ref="E7" authorId="12" shapeId="0" xr:uid="{C36E35AD-5F37-4244-BDDF-3ADA5A61E62F}">
      <text>
        <t>[Threaded comment]
Your version of Excel allows you to read this threaded comment; however, any edits to it will get removed if the file is opened in a newer version of Excel. Learn more: https://go.microsoft.com/fwlink/?linkid=870924
Comment:
    .27</t>
      </text>
    </comment>
    <comment ref="D8" authorId="13" shapeId="0" xr:uid="{5476C880-FE11-4D72-B473-9A1E20B070EC}">
      <text>
        <t>[Threaded comment]
Your version of Excel allows you to read this threaded comment; however, any edits to it will get removed if the file is opened in a newer version of Excel. Learn more: https://go.microsoft.com/fwlink/?linkid=870924
Comment:
    .17</t>
      </text>
    </comment>
    <comment ref="E8" authorId="14" shapeId="0" xr:uid="{6982DC61-58CD-4B05-AB4F-CC08DB37D970}">
      <text>
        <t>[Threaded comment]
Your version of Excel allows you to read this threaded comment; however, any edits to it will get removed if the file is opened in a newer version of Excel. Learn more: https://go.microsoft.com/fwlink/?linkid=870924
Comment:
    .17</t>
      </text>
    </comment>
    <comment ref="D9" authorId="15" shapeId="0" xr:uid="{0117148B-DD4F-4DFC-A49B-3A31207ED12E}">
      <text>
        <t>[Threaded comment]
Your version of Excel allows you to read this threaded comment; however, any edits to it will get removed if the file is opened in a newer version of Excel. Learn more: https://go.microsoft.com/fwlink/?linkid=870924
Comment:
    .61-.66</t>
      </text>
    </comment>
    <comment ref="E9" authorId="16" shapeId="0" xr:uid="{12AA17AF-AA30-452D-A08F-543FC090FECC}">
      <text>
        <t>[Threaded comment]
Your version of Excel allows you to read this threaded comment; however, any edits to it will get removed if the file is opened in a newer version of Excel. Learn more: https://go.microsoft.com/fwlink/?linkid=870924
Comment:
    .61-.66</t>
      </text>
    </comment>
    <comment ref="D10" authorId="17" shapeId="0" xr:uid="{E4A45B6E-0736-4C6D-AF9D-DAE9FCBD2406}">
      <text>
        <t>[Threaded comment]
Your version of Excel allows you to read this threaded comment; however, any edits to it will get removed if the file is opened in a newer version of Excel. Learn more: https://go.microsoft.com/fwlink/?linkid=870924
Comment:
    .66</t>
      </text>
    </comment>
    <comment ref="E10" authorId="18" shapeId="0" xr:uid="{761B2507-7450-46E8-93A9-0467D739DC63}">
      <text>
        <t>[Threaded comment]
Your version of Excel allows you to read this threaded comment; however, any edits to it will get removed if the file is opened in a newer version of Excel. Learn more: https://go.microsoft.com/fwlink/?linkid=870924
Comment:
    .66
Reply:
    Mention of previous contacts in 2008-2009.</t>
      </text>
    </comment>
    <comment ref="D11" authorId="19" shapeId="0" xr:uid="{71E49223-894A-4DA7-A095-4A35F88EB49B}">
      <text>
        <t>[Threaded comment]
Your version of Excel allows you to read this threaded comment; however, any edits to it will get removed if the file is opened in a newer version of Excel. Learn more: https://go.microsoft.com/fwlink/?linkid=870924
Comment:
    .39
.339</t>
      </text>
    </comment>
    <comment ref="E11" authorId="20" shapeId="0" xr:uid="{8E8AD0C9-EECE-4BFA-BFF3-6C26492A7E50}">
      <text>
        <t>[Threaded comment]
Your version of Excel allows you to read this threaded comment; however, any edits to it will get removed if the file is opened in a newer version of Excel. Learn more: https://go.microsoft.com/fwlink/?linkid=870924
Comment:
    .39
.339</t>
      </text>
    </comment>
    <comment ref="D12" authorId="21" shapeId="0" xr:uid="{32534AD0-EF40-4E1B-9943-936F2B716867}">
      <text>
        <t>[Threaded comment]
Your version of Excel allows you to read this threaded comment; however, any edits to it will get removed if the file is opened in a newer version of Excel. Learn more: https://go.microsoft.com/fwlink/?linkid=870924
Comment:
    .211</t>
      </text>
    </comment>
    <comment ref="E12" authorId="22" shapeId="0" xr:uid="{D041C9A6-D486-47B2-B26F-929E37E94E84}">
      <text>
        <t>[Threaded comment]
Your version of Excel allows you to read this threaded comment; however, any edits to it will get removed if the file is opened in a newer version of Excel. Learn more: https://go.microsoft.com/fwlink/?linkid=870924
Comment:
    .211
Patent in suit, in 06.10.2015 other 7 patents have been mentioned.</t>
      </text>
    </comment>
    <comment ref="D13" authorId="23" shapeId="0" xr:uid="{06649A3B-121A-4E57-BAA3-960C880FFBF2}">
      <text>
        <t>[Threaded comment]
Your version of Excel allows you to read this threaded comment; however, any edits to it will get removed if the file is opened in a newer version of Excel. Learn more: https://go.microsoft.com/fwlink/?linkid=870924
Comment:
    .96</t>
      </text>
    </comment>
    <comment ref="E13" authorId="24" shapeId="0" xr:uid="{1E133940-D3A3-4F32-A0B9-11C3CE31EF8B}">
      <text>
        <t>[Threaded comment]
Your version of Excel allows you to read this threaded comment; however, any edits to it will get removed if the file is opened in a newer version of Excel. Learn more: https://go.microsoft.com/fwlink/?linkid=870924
Comment:
    .96</t>
      </text>
    </comment>
    <comment ref="G13" authorId="25" shapeId="0" xr:uid="{1852E21B-B729-4985-9B61-CA61D7CCF41B}">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D14" authorId="26" shapeId="0" xr:uid="{E4EEB7C0-08E9-42A9-843D-C384749C21A3}">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E14" authorId="27" shapeId="0" xr:uid="{10ABD24C-0BB4-4257-B379-9619A034FD19}">
      <text>
        <t>[Threaded comment]
Your version of Excel allows you to read this threaded comment; however, any edits to it will get removed if the file is opened in a newer version of Excel. Learn more: https://go.microsoft.com/fwlink/?linkid=870924
Comment:
    .40
.759
Mention of a prior infringement notification in 2016</t>
      </text>
    </comment>
    <comment ref="D15" authorId="28" shapeId="0" xr:uid="{7CF6C239-842A-440F-B24D-10163D2D0923}">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E15" authorId="29" shapeId="0" xr:uid="{C500AAE0-F245-4020-99E8-10E037695368}">
      <text>
        <t>[Threaded comment]
Your version of Excel allows you to read this threaded comment; however, any edits to it will get removed if the file is opened in a newer version of Excel. Learn more: https://go.microsoft.com/fwlink/?linkid=870924
Comment:
.729
Mention of a prior infringement notification in 2016</t>
      </text>
    </comment>
    <comment ref="S15" authorId="30" shapeId="0" xr:uid="{F5B4C418-6555-4991-9A85-1B5E21D99A4A}">
      <text>
        <t>[Threaded comment]
Your version of Excel allows you to read this threaded comment; however, any edits to it will get removed if the file is opened in a newer version of Excel. Learn more: https://go.microsoft.com/fwlink/?linkid=870924
Comment:
    .283?
.299?</t>
      </text>
    </comment>
    <comment ref="D16" authorId="31" shapeId="0" xr:uid="{FB896350-1B13-4AD2-9D95-1F8B0C342F58}">
      <text>
        <t>[Threaded comment]
Your version of Excel allows you to read this threaded comment; however, any edits to it will get removed if the file is opened in a newer version of Excel. Learn more: https://go.microsoft.com/fwlink/?linkid=870924
Comment:
    .98</t>
      </text>
    </comment>
    <comment ref="E16" authorId="32" shapeId="0" xr:uid="{7BC21219-4714-48C3-9B36-D011F10A33B3}">
      <text>
        <t>[Threaded comment]
Your version of Excel allows you to read this threaded comment; however, any edits to it will get removed if the file is opened in a newer version of Excel. Learn more: https://go.microsoft.com/fwlink/?linkid=870924
Comment:
    .98</t>
      </text>
    </comment>
    <comment ref="S16" authorId="33" shapeId="0" xr:uid="{3CB20C93-D1C7-49B4-8FA8-398322DE739F}">
      <text>
        <t>[Threaded comment]
Your version of Excel allows you to read this threaded comment; however, any edits to it will get removed if the file is opened in a newer version of Excel. Learn more: https://go.microsoft.com/fwlink/?linkid=870924
Comment:
    .325?
.341?</t>
      </text>
    </comment>
    <comment ref="D17" authorId="34" shapeId="0" xr:uid="{8521DECB-5132-4EA1-97C1-66A1A9D290A0}">
      <text>
        <t>[Threaded comment]
Your version of Excel allows you to read this threaded comment; however, any edits to it will get removed if the file is opened in a newer version of Excel. Learn more: https://go.microsoft.com/fwlink/?linkid=870924
Comment:
    It only says March 2016
.8</t>
      </text>
    </comment>
    <comment ref="E17" authorId="35" shapeId="0" xr:uid="{458569F3-D7A3-493B-890F-FBBC8CD52F48}">
      <text>
        <t>[Threaded comment]
Your version of Excel allows you to read this threaded comment; however, any edits to it will get removed if the file is opened in a newer version of Excel. Learn more: https://go.microsoft.com/fwlink/?linkid=870924
Comment:
    .8</t>
      </text>
    </comment>
    <comment ref="G17" authorId="36" shapeId="0" xr:uid="{F8E49C8F-5B29-495D-9638-BA3AEE6F85EF}">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D18" authorId="37" shapeId="0" xr:uid="{6BD58535-9CA4-4761-A440-7FF6E6580A9B}">
      <text>
        <t>[Threaded comment]
Your version of Excel allows you to read this threaded comment; however, any edits to it will get removed if the file is opened in a newer version of Excel. Learn more: https://go.microsoft.com/fwlink/?linkid=870924
Comment:
    .11</t>
      </text>
    </comment>
    <comment ref="E18" authorId="38" shapeId="0" xr:uid="{E19EC1A0-C73B-4067-904E-FD5F682BEB55}">
      <text>
        <t xml:space="preserve">[Threaded comment]
Your version of Excel allows you to read this threaded comment; however, any edits to it will get removed if the file is opened in a newer version of Excel. Learn more: https://go.microsoft.com/fwlink/?linkid=870924
Comment:
    .11
Reply:
    .131
13.04.2015 </t>
      </text>
    </comment>
    <comment ref="D19" authorId="39" shapeId="0" xr:uid="{C0C9DBE3-A10E-4554-9BBA-A1C927B80660}">
      <text>
        <t>[Threaded comment]
Your version of Excel allows you to read this threaded comment; however, any edits to it will get removed if the file is opened in a newer version of Excel. Learn more: https://go.microsoft.com/fwlink/?linkid=870924
Comment:
    .16</t>
      </text>
    </comment>
    <comment ref="E19" authorId="40" shapeId="0" xr:uid="{9DEEC312-EF3E-4F40-904B-4437D3612902}">
      <text>
        <t>[Threaded comment]
Your version of Excel allows you to read this threaded comment; however, any edits to it will get removed if the file is opened in a newer version of Excel. Learn more: https://go.microsoft.com/fwlink/?linkid=870924
Comment:
    .16</t>
      </text>
    </comment>
    <comment ref="D20" authorId="41" shapeId="0" xr:uid="{16E3E0BE-AE5A-41F6-96B1-BF399E3B9BD3}">
      <text>
        <t>[Threaded comment]
Your version of Excel allows you to read this threaded comment; however, any edits to it will get removed if the file is opened in a newer version of Excel. Learn more: https://go.microsoft.com/fwlink/?linkid=870924
Comment:
    01.06.2015 Seite 6. (Pools Treffen, not on the 01 of June, just mention of Juni)
01.02.2016 Seite 6. (Pools Brief)
01.06.2016 Seite 5. (Pool)
23.06.2016 Seite 6. (bilaterale Lizenz)</t>
      </text>
    </comment>
    <comment ref="E20" authorId="42" shapeId="0" xr:uid="{C8B05CFF-46CB-47D8-BD80-C716F072FDAB}">
      <text>
        <t xml:space="preserve">[Threaded comment]
Your version of Excel allows you to read this threaded comment; however, any edits to it will get removed if the file is opened in a newer version of Excel. Learn more: https://go.microsoft.com/fwlink/?linkid=870924
Comment:
    Seite 5. (Pool)
23.06.2016 Seite 6. (bilaterale Lizenz)
</t>
      </text>
    </comment>
    <comment ref="D21" authorId="43" shapeId="0" xr:uid="{F591BC7A-C8E6-4A39-B759-5213AC171A50}">
      <text>
        <t>[Threaded comment]
Your version of Excel allows you to read this threaded comment; however, any edits to it will get removed if the file is opened in a newer version of Excel. Learn more: https://go.microsoft.com/fwlink/?linkid=870924
Comment:
    Seite 5.</t>
      </text>
    </comment>
    <comment ref="E21" authorId="44" shapeId="0" xr:uid="{B9C3848F-05A1-475C-9024-BACC9E80C470}">
      <text>
        <t>[Threaded comment]
Your version of Excel allows you to read this threaded comment; however, any edits to it will get removed if the file is opened in a newer version of Excel. Learn more: https://go.microsoft.com/fwlink/?linkid=870924
Comment:
    Seite 5.
29.02.2016 Seite 25, a).</t>
      </text>
    </comment>
    <comment ref="D22" authorId="45" shapeId="0" xr:uid="{E5F2869B-B065-411C-9BD6-EF1B21303837}">
      <text>
        <t>[Threaded comment]
Your version of Excel allows you to read this threaded comment; however, any edits to it will get removed if the file is opened in a newer version of Excel. Learn more: https://go.microsoft.com/fwlink/?linkid=870924
Comment:
    6.</t>
      </text>
    </comment>
    <comment ref="E22" authorId="46" shapeId="0" xr:uid="{19330A72-AC6E-4A4E-9075-6FE94FF8B5DE}">
      <text>
        <t>[Threaded comment]
Your version of Excel allows you to read this threaded comment; however, any edits to it will get removed if the file is opened in a newer version of Excel. Learn more: https://go.microsoft.com/fwlink/?linkid=870924
Comment:
    6.</t>
      </text>
    </comment>
    <comment ref="D23" authorId="47" shapeId="0" xr:uid="{68727E6D-2090-42B3-8646-B201A7504303}">
      <text>
        <t>[Threaded comment]
Your version of Excel allows you to read this threaded comment; however, any edits to it will get removed if the file is opened in a newer version of Excel. Learn more: https://go.microsoft.com/fwlink/?linkid=870924
Comment:
    .6</t>
      </text>
    </comment>
    <comment ref="E23" authorId="48" shapeId="0" xr:uid="{CF2A2DC3-3287-4CDD-8740-FCE647D8BB90}">
      <text>
        <t>[Threaded comment]
Your version of Excel allows you to read this threaded comment; however, any edits to it will get removed if the file is opened in a newer version of Excel. Learn more: https://go.microsoft.com/fwlink/?linkid=870924
Comment:
    6.</t>
      </text>
    </comment>
    <comment ref="D24" authorId="49" shapeId="0" xr:uid="{02B3F433-F9CC-4AB0-94DD-84A62A4E432A}">
      <text>
        <t>[Threaded comment]
Your version of Excel allows you to read this threaded comment; however, any edits to it will get removed if the file is opened in a newer version of Excel. Learn more: https://go.microsoft.com/fwlink/?linkid=870924
Comment:
    Seite 5.</t>
      </text>
    </comment>
    <comment ref="E24" authorId="50" shapeId="0" xr:uid="{47447F0E-76DA-4A8E-84A7-66D536B5EF9B}">
      <text>
        <t>[Threaded comment]
Your version of Excel allows you to read this threaded comment; however, any edits to it will get removed if the file is opened in a newer version of Excel. Learn more: https://go.microsoft.com/fwlink/?linkid=870924
Comment:
    Seite 5.</t>
      </text>
    </comment>
    <comment ref="D25" authorId="51" shapeId="0" xr:uid="{A89ED7EA-8957-4A25-8188-ADEC5B313311}">
      <text>
        <t>[Threaded comment]
Your version of Excel allows you to read this threaded comment; however, any edits to it will get removed if the file is opened in a newer version of Excel. Learn more: https://go.microsoft.com/fwlink/?linkid=870924
Comment:
    Seite 8.</t>
      </text>
    </comment>
    <comment ref="E25" authorId="52" shapeId="0" xr:uid="{B25351C2-4E58-44A5-A2D4-6417AC76ECFD}">
      <text>
        <t>[Threaded comment]
Your version of Excel allows you to read this threaded comment; however, any edits to it will get removed if the file is opened in a newer version of Excel. Learn more: https://go.microsoft.com/fwlink/?linkid=870924
Comment:
    Seite 8.</t>
      </text>
    </comment>
    <comment ref="G25" authorId="53" shapeId="0" xr:uid="{84C96787-C341-404E-B21E-94B6BCA2A6B9}">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D26" authorId="54" shapeId="0" xr:uid="{FE5D4280-90A0-48AD-A63A-A9BB9BCD9416}">
      <text>
        <t>[Threaded comment]
Your version of Excel allows you to read this threaded comment; however, any edits to it will get removed if the file is opened in a newer version of Excel. Learn more: https://go.microsoft.com/fwlink/?linkid=870924
Comment:
    Seite 4, 1.</t>
      </text>
    </comment>
    <comment ref="E26" authorId="55" shapeId="0" xr:uid="{7CE24CC6-FB6A-444C-9C44-92E3E3ADB890}">
      <text>
        <t>[Threaded comment]
Your version of Excel allows you to read this threaded comment; however, any edits to it will get removed if the file is opened in a newer version of Excel. Learn more: https://go.microsoft.com/fwlink/?linkid=870924
Comment:
    Seite 4, 1.
No mention of the date of the offer, two dates for contacts
29.03.2016 
06.03.2018</t>
      </text>
    </comment>
    <comment ref="G26" authorId="56" shapeId="0" xr:uid="{7712B981-1EA6-4C02-A3E0-C3D4D5449D7F}">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D27" authorId="57" shapeId="0" xr:uid="{3C97387B-933E-44C2-BD9C-E7DC53C077C1}">
      <text>
        <t>[Threaded comment]
Your version of Excel allows you to read this threaded comment; however, any edits to it will get removed if the file is opened in a newer version of Excel. Learn more: https://go.microsoft.com/fwlink/?linkid=870924
Comment:
    Seite 14.
Seite 47, II. 1.
Seite 48, b).</t>
      </text>
    </comment>
    <comment ref="E27" authorId="58" shapeId="0" xr:uid="{BD325293-B1EF-4B36-AD71-293350ACBBE5}">
      <text>
        <t>[Threaded comment]
Your version of Excel allows you to read this threaded comment; however, any edits to it will get removed if the file is opened in a newer version of Excel. Learn more: https://go.microsoft.com/fwlink/?linkid=870924
Comment:
    Seite 14.</t>
      </text>
    </comment>
    <comment ref="B28" authorId="59" shapeId="0" xr:uid="{7A298A1F-B6E2-46B6-BF5D-81253E416DB0}">
      <text>
        <t>[Threaded comment]
Your version of Excel allows you to read this threaded comment; however, any edits to it will get removed if the file is opened in a newer version of Excel. Learn more: https://go.microsoft.com/fwlink/?linkid=870924
Comment:
    09.09.2021</t>
      </text>
    </comment>
    <comment ref="D28" authorId="60" shapeId="0" xr:uid="{3BF734DA-B0A4-46D8-A28D-1F3C30D3EE53}">
      <text>
        <t>[Threaded comment]
Your version of Excel allows you to read this threaded comment; however, any edits to it will get removed if the file is opened in a newer version of Excel. Learn more: https://go.microsoft.com/fwlink/?linkid=870924
Comment:
    .113-.115</t>
      </text>
    </comment>
    <comment ref="E28" authorId="61" shapeId="0" xr:uid="{872E5925-C8D7-4D1B-9D34-F985AFA6EBEF}">
      <text>
        <t>[Threaded comment]
Your version of Excel allows you to read this threaded comment; however, any edits to it will get removed if the file is opened in a newer version of Excel. Learn more: https://go.microsoft.com/fwlink/?linkid=870924
Comment:
    .118
.120
Not an actual offer, but an invitation to their website. The court thinks it is sufficient infringement notice, not accepting the objections of the defendant.
There is another letter dated 16.09.2019 that repeats the message, also considered valid.</t>
      </text>
    </comment>
    <comment ref="G30" authorId="62" shapeId="0" xr:uid="{006F4B02-D13F-49E1-B4B4-709BD0164C8E}">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D31" authorId="63" shapeId="0" xr:uid="{74D6B7BF-2AF8-45F1-AC84-376BA37322A8}">
      <text>
        <t>[Threaded comment]
Your version of Excel allows you to read this threaded comment; however, any edits to it will get removed if the file is opened in a newer version of Excel. Learn more: https://go.microsoft.com/fwlink/?linkid=870924
Comment:
    Letter of July 2014 (after the complaint)
.215</t>
      </text>
    </comment>
    <comment ref="G31" authorId="64" shapeId="0" xr:uid="{5C138281-CC73-4742-99EF-CD21E5DCA6C1}">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D33" authorId="65" shapeId="0" xr:uid="{1747A55B-506F-43B9-83DF-8F10107F57F9}">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E33" authorId="66" shapeId="0" xr:uid="{B8C305FF-F59A-414A-94B4-2E8B2CD52A8B}">
      <text>
        <t>[Threaded comment]
Your version of Excel allows you to read this threaded comment; however, any edits to it will get removed if the file is opened in a newer version of Excel. Learn more: https://go.microsoft.com/fwlink/?linkid=870924
Comment:
    A lot of mentions of 27.09.2019.
Could that be the date of first contact?</t>
      </text>
    </comment>
    <comment ref="D34" authorId="67" shapeId="0" xr:uid="{02A0BBB1-1689-456B-9AFD-D888E55122B9}">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E34" authorId="68" shapeId="0" xr:uid="{D67CA643-2A2D-41F9-8C6C-0A63F3EBE807}">
      <text>
        <t xml:space="preserve">[Threaded comment]
Your version of Excel allows you to read this threaded comment; however, any edits to it will get removed if the file is opened in a newer version of Excel. Learn more: https://go.microsoft.com/fwlink/?linkid=870924
Comment:
    .218
Does not say first of March, just March 2021.
Reply:
    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
      </text>
    </comment>
    <comment ref="D35" authorId="69" shapeId="0" xr:uid="{AB691DF3-882A-4F92-80DD-83766A725640}">
      <text>
        <t>[Threaded comment]
Your version of Excel allows you to read this threaded comment; however, any edits to it will get removed if the file is opened in a newer version of Excel. Learn more: https://go.microsoft.com/fwlink/?linkid=870924
Comment:
    .99
.147</t>
      </text>
    </comment>
    <comment ref="E35" authorId="70" shapeId="0" xr:uid="{A2C9F3B7-9635-4501-B35A-47C3F1533436}">
      <text>
        <t>[Threaded comment]
Your version of Excel allows you to read this threaded comment; however, any edits to it will get removed if the file is opened in a newer version of Excel. Learn more: https://go.microsoft.com/fwlink/?linkid=870924
Comment:
    .99
.147</t>
      </text>
    </comment>
    <comment ref="D36" authorId="71" shapeId="0" xr:uid="{32773D98-9693-427A-89E3-FC968A5FD870}">
      <text>
        <t>[Threaded comment]
Your version of Excel allows you to read this threaded comment; however, any edits to it will get removed if the file is opened in a newer version of Excel. Learn more: https://go.microsoft.com/fwlink/?linkid=870924
Comment:
    .22</t>
      </text>
    </comment>
    <comment ref="E36" authorId="72" shapeId="0" xr:uid="{8032DBE2-605A-4A16-9786-8BB93B4E82F3}">
      <text>
        <t>[Threaded comment]
Your version of Excel allows you to read this threaded comment; however, any edits to it will get removed if the file is opened in a newer version of Excel. Learn more: https://go.microsoft.com/fwlink/?linkid=870924
Comment:
    .22</t>
      </text>
    </comment>
    <comment ref="D37" authorId="73" shapeId="0" xr:uid="{85F5BFDF-6328-4103-A4F1-CF925C833CD7}">
      <text>
        <t>[Threaded comment]
Your version of Excel allows you to read this threaded comment; however, any edits to it will get removed if the file is opened in a newer version of Excel. Learn more: https://go.microsoft.com/fwlink/?linkid=870924
Comment:
    .23</t>
      </text>
    </comment>
    <comment ref="E37" authorId="74" shapeId="0" xr:uid="{882C2178-B17C-495E-B298-7C30C67344EB}">
      <text>
        <t>[Threaded comment]
Your version of Excel allows you to read this threaded comment; however, any edits to it will get removed if the file is opened in a newer version of Excel. Learn more: https://go.microsoft.com/fwlink/?linkid=870924
Comment:
    .23</t>
      </text>
    </comment>
    <comment ref="C38" authorId="75" shapeId="0" xr:uid="{2BB44D05-7928-42AA-9891-DB9F7FAA570A}">
      <text>
        <t>[Threaded comment]
Your version of Excel allows you to read this threaded comment; however, any edits to it will get removed if the file is opened in a newer version of Excel. Learn more: https://go.microsoft.com/fwlink/?linkid=870924
Comment:
    .15</t>
      </text>
    </comment>
    <comment ref="G38" authorId="76" shapeId="0" xr:uid="{D80FD525-4C76-4366-B16D-541057A807E4}">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G39" authorId="77" shapeId="0" xr:uid="{9CC90AED-5BF4-4FE0-89F1-98941AA76A46}">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B40" authorId="78" shapeId="0" xr:uid="{66CFBA34-B140-45BA-A278-45EF30C9B242}">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D40" authorId="79" shapeId="0" xr:uid="{E83A15CB-CD66-48EB-A3A5-63A0D540C133}">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E40" authorId="80" shapeId="0" xr:uid="{B912E535-D675-48D4-938C-671D0D68D93D}">
      <text>
        <t>[Threaded comment]
Your version of Excel allows you to read this threaded comment; however, any edits to it will get removed if the file is opened in a newer version of Excel. Learn more: https://go.microsoft.com/fwlink/?linkid=870924
Comment:
    Seite 38, 4. a)
Reply:
    Defendant's counter offer: 30.05.2014</t>
      </text>
    </comment>
    <comment ref="B41" authorId="81" shapeId="0" xr:uid="{44250ED0-8A00-4FC3-9168-14DEB552F6D0}">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D41" authorId="82" shapeId="0" xr:uid="{763B3EEE-5A12-49BF-A104-4CB84D4C71E4}">
      <text>
        <t>[Threaded comment]
Your version of Excel allows you to read this threaded comment; however, any edits to it will get removed if the file is opened in a newer version of Excel. Learn more: https://go.microsoft.com/fwlink/?linkid=870924
Comment:
    Lawsuit notification, most probably</t>
      </text>
    </comment>
    <comment ref="E41" authorId="83" shapeId="0" xr:uid="{1C6EF3DC-1E7E-4F12-B1D4-9A0BC79AF2B0}">
      <text>
        <t>[Threaded comment]
Your version of Excel allows you to read this threaded comment; however, any edits to it will get removed if the file is opened in a newer version of Excel. Learn more: https://go.microsoft.com/fwlink/?linkid=870924
Comment:
    Seite 6
Seite 35, d).</t>
      </text>
    </comment>
    <comment ref="D42" authorId="84" shapeId="0" xr:uid="{EC739C55-BEC4-420D-9CF9-5D02B9C0F2E6}">
      <text>
        <t>[Threaded comment]
Your version of Excel allows you to read this threaded comment; however, any edits to it will get removed if the file is opened in a newer version of Excel. Learn more: https://go.microsoft.com/fwlink/?linkid=870924
Comment:
    Seite 5
Die Klägerin wies die französische A SAS vor Klageerhebung schriftlich am 13. Oktober 2014 unter Beifügung einer Liste der betroffenen Patente darauf hin, dass sie durch den Vertrieb ihrer Mobiltelefone UMTS- und LTE-standardessentielle Patente der Klägerin verletze.</t>
      </text>
    </comment>
    <comment ref="E42" authorId="85" shapeId="0" xr:uid="{BE39797D-9EDE-4971-A61C-550E959348D8}">
      <text>
        <t xml:space="preserve">[Threaded comment]
Your version of Excel allows you to read this threaded comment; however, any edits to it will get removed if the file is opened in a newer version of Excel. Learn more: https://go.microsoft.com/fwlink/?linkid=870924
Comment:
    Mit Schreiben vom 28. Juli 2015 unterbreitete die Klägerin der A SAS ein Lizenzvertragsangebot unter Beifügung einer Liste der patentverletzenden Produkte und standardessentiellen Patente nebst technischen
Beschreibungen. </t>
      </text>
    </comment>
    <comment ref="D43" authorId="86" shapeId="0" xr:uid="{A9C8E43D-0EB6-4E54-9715-D27B884A12A8}">
      <text>
        <t xml:space="preserve">[Threaded comment]
Your version of Excel allows you to read this threaded comment; however, any edits to it will get removed if the file is opened in a newer version of Excel. Learn more: https://go.microsoft.com/fwlink/?linkid=870924
Comment:
    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
      </text>
    </comment>
    <comment ref="E43" authorId="87" shapeId="0" xr:uid="{9B5D5CF9-547F-476A-9D08-8B9184A81EDE}">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
      </text>
    </comment>
    <comment ref="D44" authorId="88" shapeId="0" xr:uid="{891FF218-914C-4630-B497-D077FF40FBAC}">
      <text>
        <t>[Threaded comment]
Your version of Excel allows you to read this threaded comment; however, any edits to it will get removed if the file is opened in a newer version of Excel. Learn more: https://go.microsoft.com/fwlink/?linkid=870924
Comment:
    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
      </text>
    </comment>
    <comment ref="E44" authorId="89" shapeId="0" xr:uid="{F51A08C3-02FA-44BE-BE5B-F98B32CB57D1}">
      <text>
        <t xml:space="preserve">[Threaded comment]
Your version of Excel allows you to read this threaded comment; however, any edits to it will get removed if the file is opened in a newer version of Excel. Learn more: https://go.microsoft.com/fwlink/?linkid=870924
Comment:
    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
      </text>
    </comment>
    <comment ref="D45" authorId="90" shapeId="0" xr:uid="{FAB4F2B2-6683-457D-A663-963E75B2AA62}">
      <text>
        <t xml:space="preserve">[Threaded comment]
Your version of Excel allows you to read this threaded comment; however, any edits to it will get removed if the file is opened in a newer version of Excel. Learn more: https://go.microsoft.com/fwlink/?linkid=870924
Comment:
    Seite 6.
Not 01 of Juni.
Im Juni 2009 übermittelte die Klägerin an A eine Liste mit Patenten, die nach ihrer Auffassung für den UMTS-Standard essentiell sind, darunter auch das Klagepatent. </t>
      </text>
    </comment>
    <comment ref="E45" authorId="91" shapeId="0" xr:uid="{76291632-17B6-4565-A576-755EA8F58626}">
      <text>
        <t>[Threaded comment]
Your version of Excel allows you to read this threaded comment; however, any edits to it will get removed if the file is opened in a newer version of Excel. Learn more: https://go.microsoft.com/fwlink/?linkid=870924
Comment:
    Seite 6.
Mit Email vom 17. September 2015 übersandte die Klägerin einen Lizenzvertragsentwurf an A gemeinsam mit einer aktualisierten Übersicht über ihr UMTS-/LTE_x0002_Patentportfolio nebst Claim-charts.</t>
      </text>
    </comment>
    <comment ref="G45" authorId="92" shapeId="0" xr:uid="{2535AC86-5A9E-46DC-9893-8CB51B98FEDF}">
      <text>
        <t>[Threaded comment]
Your version of Excel allows you to read this threaded comment; however, any edits to it will get removed if the file is opened in a newer version of Excel. Learn more: https://go.microsoft.com/fwlink/?linkid=870924
Comment:
    Siete 33, VI.</t>
      </text>
    </comment>
    <comment ref="D46" authorId="93" shapeId="0" xr:uid="{C2606CB1-2525-4408-8991-C28F2D26864F}">
      <text>
        <t xml:space="preserve">[Threaded comment]
Your version of Excel allows you to read this threaded comment; however, any edits to it will get removed if the file is opened in a newer version of Excel. Learn more: https://go.microsoft.com/fwlink/?linkid=870924
Comment:
    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
      </text>
    </comment>
    <comment ref="E46" authorId="94" shapeId="0" xr:uid="{E7262A19-F888-4AAF-AC71-597A26410877}">
      <text>
        <t xml:space="preserve">[Threaded comment]
Your version of Excel allows you to read this threaded comment; however, any edits to it will get removed if the file is opened in a newer version of Excel. Learn more: https://go.microsoft.com/fwlink/?linkid=870924
Comment:
    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tc={8E633B5C-1C42-4F1B-9236-FC2DEABD44FD}</author>
    <author>tc={801AD1A9-177B-40E0-AD38-0B06EEFFC327}</author>
    <author>tc={22532E8F-4965-4084-8274-AD038F574ADC}</author>
    <author>tc={2C66D17F-3173-4EF2-95E5-5666F6F48FCB}</author>
    <author>tc={24162456-A381-4AA4-A3C0-1C12F826CCE0}</author>
    <author>tc={E123C8EE-C14B-47A3-9D0C-08926D3846FB}</author>
    <author>tc={19DA943C-AD8E-4813-953F-B53A830117C8}</author>
    <author>tc={FD71348B-4618-475B-86A6-602EE0B4C818}</author>
    <author>tc={8FD144BD-4B52-47DE-B7D7-75FD423454F7}</author>
    <author>tc={02FA45F6-CD9A-4F81-AC8F-376B560843E2}</author>
    <author>tc={4899C66E-0478-47FF-AACF-4EBA30BCEEEE}</author>
    <author>tc={5F21B82A-7527-498D-9F14-302396D7093C}</author>
    <author>tc={5CB4F4A8-CA36-4923-9BC4-50EE9ABE9794}</author>
    <author>tc={43861C12-820F-4F15-8295-BBFF43E85D83}</author>
    <author>tc={212A0A85-4B47-46E4-9B3C-9D2AAD281887}</author>
    <author>tc={B50250ED-C003-4651-9E94-4973C7FD2A1A}</author>
    <author>tc={71992B9E-6C09-4880-8932-8FEA3339DA36}</author>
    <author>tc={CFD260EE-C781-45B4-AD06-A0A3E03EB10F}</author>
    <author>tc={32A4E8BD-1CB6-44E5-803E-241AB255F227}</author>
    <author>tc={E6237893-CF32-453C-9100-A8B11AAB7751}</author>
    <author>tc={FC9964B1-98B5-409A-A252-D3449EBF12AF}</author>
    <author>tc={359E0825-BACC-4B31-B549-193B2395B33A}</author>
    <author>tc={EE7D0CB3-88B4-4E46-B3E0-D9BAA328F0C7}</author>
    <author>tc={FAF5B218-070B-45BE-B110-8F7B1C8B81D8}</author>
    <author>tc={4D5BB3EE-005C-45C2-8A0E-D7E2E45564DB}</author>
    <author>tc={53EB2C4A-B146-421F-9694-F2E1E6344C5A}</author>
    <author>tc={55CD50B4-5A2E-4B15-BEA6-A53BB7DC188B}</author>
    <author>tc={32E38E9A-B4C5-420B-A74E-FEFED847AFDE}</author>
    <author>tc={8B531531-C8CD-43B9-8828-42DD66AF90A7}</author>
    <author>tc={5C7004C4-D8D6-47E9-9119-62617F84A564}</author>
    <author>tc={F10E3C77-30B8-430B-8F81-C49007DBA52D}</author>
    <author>tc={CF7F40C4-648E-42F9-ADE0-237D5137E220}</author>
    <author>tc={5F61D4A0-5533-4914-A6C1-05FD360AC451}</author>
    <author>tc={178F12AA-02C9-4150-87E2-EA5870DAC209}</author>
    <author>tc={B549275E-80BB-4560-A8EC-ECE330BB9F8B}</author>
    <author>tc={ED216E9D-8A6A-49DF-9FC3-1FBCDE55F43D}</author>
    <author>tc={9E33C6E2-6004-4CB5-BF87-EAC9340BF51B}</author>
    <author>tc={43B9FCFA-1570-4A5E-B915-2DB63D8F2F3F}</author>
    <author>tc={2018DAFE-55DE-4FC5-A39E-50A08808230B}</author>
    <author>tc={492540C2-BEEB-405F-B775-FABF9A3CE58D}</author>
    <author>tc={B06D5D71-9FAC-43AB-B3BA-BC782B7D2F06}</author>
    <author>tc={181A8FB7-E331-4F41-97F5-FA80B771B555}</author>
  </authors>
  <commentList>
    <comment ref="F3" authorId="0" shapeId="0" xr:uid="{8E633B5C-1C42-4F1B-9236-FC2DEABD44FD}">
      <text>
        <t>[Threaded comment]
Your version of Excel allows you to read this threaded comment; however, any edits to it will get removed if the file is opened in a newer version of Excel. Learn more: https://go.microsoft.com/fwlink/?linkid=870924
Comment:
    23.07.2014
Different from the date of complaint/first action from DartsIP</t>
      </text>
    </comment>
    <comment ref="J4" authorId="1" shapeId="0" xr:uid="{801AD1A9-177B-40E0-AD38-0B06EEFFC327}">
      <text>
        <t xml:space="preserve">[Threaded comment]
Your version of Excel allows you to read this threaded comment; however, any edits to it will get removed if the file is opened in a newer version of Excel. Learn more: https://go.microsoft.com/fwlink/?linkid=870924
Comment:
    INEFFECTIVE!
Die Entscheidung ist wirkungslos. Die Klage wurde am 28.12.2018 zurückgenommen. </t>
      </text>
    </comment>
    <comment ref="C13" authorId="2" shapeId="0" xr:uid="{22532E8F-4965-4084-8274-AD038F574ADC}">
      <text>
        <t>[Threaded comment]
Your version of Excel allows you to read this threaded comment; however, any edits to it will get removed if the file is opened in a newer version of Excel. Learn more: https://go.microsoft.com/fwlink/?linkid=870924
Comment:
    Die Klägerin macht – nachdem die Parteien den Rechtsstreit übereinstimmend im Hinblick auf den ursprünglich auch geltend gemachten Unterlassungsanspruch teilweise für erledigt erklärt haben – 
Reply:
    (patent expired, so no injunction issued; but court is explicit in that plaintiff had a right to request the injunction when it did)
Justus</t>
      </text>
    </comment>
    <comment ref="M14" authorId="3" shapeId="0" xr:uid="{2C66D17F-3173-4EF2-95E5-5666F6F48FCB}">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M15" authorId="4" shapeId="0" xr:uid="{24162456-A381-4AA4-A3C0-1C12F826CCE0}">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C17" authorId="5" shapeId="0" xr:uid="{E123C8EE-C14B-47A3-9D0C-08926D3846FB}">
      <text>
        <t>[Threaded comment]
Your version of Excel allows you to read this threaded comment; however, any edits to it will get removed if the file is opened in a newer version of Excel. Learn more: https://go.microsoft.com/fwlink/?linkid=870924
Comment:
    Das Verfahren wird ausgesetzt.
Reply:
    {referred to CJEU, settled before decision}
Justus</t>
      </text>
    </comment>
    <comment ref="J17" authorId="6" shapeId="0" xr:uid="{19DA943C-AD8E-4813-953F-B53A830117C8}">
      <text>
        <t>[Threaded comment]
Your version of Excel allows you to read this threaded comment; however, any edits to it will get removed if the file is opened in a newer version of Excel. Learn more: https://go.microsoft.com/fwlink/?linkid=870924
Comment:
    They specify some claims (1, 2, 4, 6 &amp; 9)</t>
      </text>
    </comment>
    <comment ref="M17" authorId="7" shapeId="0" xr:uid="{FD71348B-4618-475B-86A6-602EE0B4C818}">
      <text>
        <t>[Threaded comment]
Your version of Excel allows you to read this threaded comment; however, any edits to it will get removed if the file is opened in a newer version of Excel. Learn more: https://go.microsoft.com/fwlink/?linkid=870924
Comment:
    In Darts they mention
22.10.2019</t>
      </text>
    </comment>
    <comment ref="M21" authorId="8" shapeId="0" xr:uid="{8FD144BD-4B52-47DE-B7D7-75FD423454F7}">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J22" authorId="9" shapeId="0" xr:uid="{02FA45F6-CD9A-4F81-AC8F-376B560843E2}">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M22" authorId="10" shapeId="0" xr:uid="{4899C66E-0478-47FF-AACF-4EBA30BCEEEE}">
      <text>
        <t>[Threaded comment]
Your version of Excel allows you to read this threaded comment; however, any edits to it will get removed if the file is opened in a newer version of Excel. Learn more: https://go.microsoft.com/fwlink/?linkid=870924
Comment:
    Darts</t>
      </text>
    </comment>
    <comment ref="M23" authorId="11" shapeId="0" xr:uid="{5F21B82A-7527-498D-9F14-302396D7093C}">
      <text>
        <t>[Threaded comment]
Your version of Excel allows you to read this threaded comment; however, any edits to it will get removed if the file is opened in a newer version of Excel. Learn more: https://go.microsoft.com/fwlink/?linkid=870924
Comment:
    Darts</t>
      </text>
    </comment>
    <comment ref="J24" authorId="12" shapeId="0" xr:uid="{5CB4F4A8-CA36-4923-9BC4-50EE9ABE9794}">
      <text>
        <t>[Threaded comment]
Your version of Excel allows you to read this threaded comment; however, any edits to it will get removed if the file is opened in a newer version of Excel. Learn more: https://go.microsoft.com/fwlink/?linkid=870924
Comment:
    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Reply:
    Anlagenkonvolut der Entgegenhaltungen aus dem parallelen Nichtigkeitsverfahren zu EP 1 062 744 
Reply:
    5 Ni 23/10(EP)</t>
      </text>
    </comment>
    <comment ref="C25" authorId="13" shapeId="0" xr:uid="{43861C12-820F-4F15-8295-BBFF43E85D83}">
      <text>
        <t>[Threaded comment]
Your version of Excel allows you to read this threaded comment; however, any edits to it will get removed if the file is opened in a newer version of Excel. Learn more: https://go.microsoft.com/fwlink/?linkid=870924
Comment:
    BEIM FRAND-EINWAND 
Reply:
    (NO Kather version)</t>
      </text>
    </comment>
    <comment ref="M25" authorId="14" shapeId="0" xr:uid="{212A0A85-4B47-46E4-9B3C-9D2AAD281887}">
      <text>
        <t>[Threaded comment]
Your version of Excel allows you to read this threaded comment; however, any edits to it will get removed if the file is opened in a newer version of Excel. Learn more: https://go.microsoft.com/fwlink/?linkid=870924
Comment:
    In Darts they mention
29.05.2016</t>
      </text>
    </comment>
    <comment ref="C26" authorId="15" shapeId="0" xr:uid="{B50250ED-C003-4651-9E94-4973C7FD2A1A}">
      <text>
        <t xml:space="preserve">[Threaded comment]
Your version of Excel allows you to read this threaded comment; however, any edits to it will get removed if the file is opened in a newer version of Excel. Learn more: https://go.microsoft.com/fwlink/?linkid=870924
Comment:
    Mentions of Patent Holder position and maybe FRAND-Einwand
Reply:
    […] mangels Lizenzwilligkeit kein FRAND-Einwand zu
Reply:
    Vorliegend steht den Beklagten nachdem die Klägerin auf die Patentverletzung hingewiesen hat (dazu 1.), mangels Lizenzwilligkeit kein FRAND-Einwand zu (dazu 2.). Demgegenüber ist die Klägerin ihren etwaigen Verhandlungsobliegenheiten nachgekommen (dazu 3.) </t>
      </text>
    </comment>
    <comment ref="D28" authorId="16" shapeId="0" xr:uid="{71992B9E-6C09-4880-8932-8FEA3339DA36}">
      <text>
        <t>[Threaded comment]
Your version of Excel allows you to read this threaded comment; however, any edits to it will get removed if the file is opened in a newer version of Excel. Learn more: https://go.microsoft.com/fwlink/?linkid=870924
Comment:
    09.09.2021</t>
      </text>
    </comment>
    <comment ref="J28" authorId="17" shapeId="0" xr:uid="{CFD260EE-C781-45B4-AD06-A0A3E03EB10F}">
      <text>
        <t>[Threaded comment]
Your version of Excel allows you to read this threaded comment; however, any edits to it will get removed if the file is opened in a newer version of Excel. Learn more: https://go.microsoft.com/fwlink/?linkid=870924
Comment:
    They specify some claims (1-4, 7-9, 10-17)</t>
      </text>
    </comment>
    <comment ref="M28" authorId="18" shapeId="0" xr:uid="{32A4E8BD-1CB6-44E5-803E-241AB255F227}">
      <text>
        <t>[Threaded comment]
Your version of Excel allows you to read this threaded comment; however, any edits to it will get removed if the file is opened in a newer version of Excel. Learn more: https://go.microsoft.com/fwlink/?linkid=870924
Comment:
    Darts</t>
      </text>
    </comment>
    <comment ref="C30" authorId="19" shapeId="0" xr:uid="{E6237893-CF32-453C-9100-A8B11AAB7751}">
      <text>
        <t xml:space="preserve">[Threaded comment]
Your version of Excel allows you to read this threaded comment; however, any edits to it will get removed if the file is opened in a newer version of Excel. Learn more: https://go.microsoft.com/fwlink/?linkid=870924
Comment:
    Die auf Unterlassung, Ruckruf/Entfernung aus den Vertriebswegen und Vernichtung gerichteten Anträge sind hingegen abzuweisen, well die Klagerin insoweit an der Anspruchsdurchsetzung aus kartellrechtlichen Grunden gehindert ist (V). 
Reply:
    Die Klage ist als derzeit unbegrundet abzuweisen, soweit die Klagerin von der Beklagten Unterlassung, Ruckruf und Entfernung aus den Vertriebswegen sowie die Vernichtung patentverletzender Produkte </t>
      </text>
    </comment>
    <comment ref="J30" authorId="20" shapeId="0" xr:uid="{FC9964B1-98B5-409A-A252-D3449EBF12AF}">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 ref="C31" authorId="21" shapeId="0" xr:uid="{359E0825-BACC-4B31-B549-193B2395B33A}">
      <text>
        <t>[Threaded comment]
Your version of Excel allows you to read this threaded comment; however, any edits to it will get removed if the file is opened in a newer version of Excel. Learn more: https://go.microsoft.com/fwlink/?linkid=870924
Comment:
    I am NOT sure why I found it to be an injunction. While studying it more, I would say it may be a NO.
Reply:
    TENOR
1. Die Beklagte wird verurteilt, es bei Meidung eines für jeden Fall der Zuwiderhandlung fälligen Ordnungsgeldes bis zu 250.000 EUR, ersatzweise Ordnungshaft oder Ordnungshaft bis zu sechs Monaten, im Wiederholungsfall Ordnungshaft bis zu zwei Jahren zu unterlassen, 
Reply:
    Justus said YES</t>
      </text>
    </comment>
    <comment ref="M33" authorId="22" shapeId="0" xr:uid="{EE7D0CB3-88B4-4E46-B3E0-D9BAA328F0C7}">
      <text>
        <t>[Threaded comment]
Your version of Excel allows you to read this threaded comment; however, any edits to it will get removed if the file is opened in a newer version of Excel. Learn more: https://go.microsoft.com/fwlink/?linkid=870924
Comment:
    Darts</t>
      </text>
    </comment>
    <comment ref="J34" authorId="23" shapeId="0" xr:uid="{FAF5B218-070B-45BE-B110-8F7B1C8B81D8}">
      <text>
        <t>[Threaded comment]
Your version of Excel allows you to read this threaded comment; however, any edits to it will get removed if the file is opened in a newer version of Excel. Learn more: https://go.microsoft.com/fwlink/?linkid=870924
Comment:
    Replacement of claims 1 and 11.</t>
      </text>
    </comment>
    <comment ref="M34" authorId="24" shapeId="0" xr:uid="{4D5BB3EE-005C-45C2-8A0E-D7E2E45564DB}">
      <text>
        <t>[Threaded comment]
Your version of Excel allows you to read this threaded comment; however, any edits to it will get removed if the file is opened in a newer version of Excel. Learn more: https://go.microsoft.com/fwlink/?linkid=870924
Comment:
    Darts
Reply:
    Could be an old one, in Darts there is also a mention of 28.01.2021</t>
      </text>
    </comment>
    <comment ref="J36" authorId="25" shapeId="0" xr:uid="{53EB2C4A-B146-421F-9694-F2E1E6344C5A}">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J37" authorId="26" shapeId="0" xr:uid="{55CD50B4-5A2E-4B15-BEA6-A53BB7DC188B}">
      <text>
        <t>[Threaded comment]
Your version of Excel allows you to read this threaded comment; however, any edits to it will get removed if the file is opened in a newer version of Excel. Learn more: https://go.microsoft.com/fwlink/?linkid=870924
Comment:
    Mention of claims 12-16.</t>
      </text>
    </comment>
    <comment ref="C38" authorId="27" shapeId="0" xr:uid="{32E38E9A-B4C5-420B-A74E-FEFED847AFDE}">
      <text>
        <t>[Threaded comment]
Your version of Excel allows you to read this threaded comment; however, any edits to it will get removed if the file is opened in a newer version of Excel. Learn more: https://go.microsoft.com/fwlink/?linkid=870924
Comment:
    .17
Der Antrag auf Erlass einer einstweiligen Verfügung ist zulässig (I.) und begründet (II). 
.29
.41
Reply:
    Bei den in § 33 Abs. 1 GWB geregelten Unterlassungs- und Beseitigungsansprüchen handelt
es sich um Ansprüche aus unerlaubter Handlung.
Reply:
    NO {the order here is reversed; the implementer successfully sues for a customs ban to be lifted}
Justus</t>
      </text>
    </comment>
    <comment ref="F38" authorId="28" shapeId="0" xr:uid="{8B531531-C8CD-43B9-8828-42DD66AF90A7}">
      <text>
        <t>[Threaded comment]
Your version of Excel allows you to read this threaded comment; however, any edits to it will get removed if the file is opened in a newer version of Excel. Learn more: https://go.microsoft.com/fwlink/?linkid=870924
Comment:
    .15</t>
      </text>
    </comment>
    <comment ref="C39" authorId="29" shapeId="0" xr:uid="{5C7004C4-D8D6-47E9-9119-62617F84A564}">
      <text>
        <t>[Threaded comment]
Your version of Excel allows you to read this threaded comment; however, any edits to it will get removed if the file is opened in a newer version of Excel. Learn more: https://go.microsoft.com/fwlink/?linkid=870924
Comment:
    {because retracted}
No?
Justus
Reply:
    Changed to No for the graphs</t>
      </text>
    </comment>
    <comment ref="D40" authorId="30" shapeId="0" xr:uid="{F10E3C77-30B8-430B-8F81-C49007DBA52D}">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J40" authorId="31" shapeId="0" xr:uid="{CF7F40C4-648E-42F9-ADE0-237D5137E220}">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M40" authorId="32" shapeId="0" xr:uid="{5F61D4A0-5533-4914-A6C1-05FD360AC451}">
      <text>
        <t>[Threaded comment]
Your version of Excel allows you to read this threaded comment; however, any edits to it will get removed if the file is opened in a newer version of Excel. Learn more: https://go.microsoft.com/fwlink/?linkid=870924
Comment:
    Darts</t>
      </text>
    </comment>
    <comment ref="D41" authorId="33" shapeId="0" xr:uid="{178F12AA-02C9-4150-87E2-EA5870DAC209}">
      <text>
        <t>[Threaded comment]
Your version of Excel allows you to read this threaded comment; however, any edits to it will get removed if the file is opened in a newer version of Excel. Learn more: https://go.microsoft.com/fwlink/?linkid=870924
Comment:
    Picked the latest date</t>
      </text>
    </comment>
    <comment ref="J41" authorId="34" shapeId="0" xr:uid="{B549275E-80BB-4560-A8EC-ECE330BB9F8B}">
      <text>
        <t xml:space="preserve">[Threaded comment]
Your version of Excel allows you to read this threaded comment; however, any edits to it will get removed if the file is opened in a newer version of Excel. Learn more: https://go.microsoft.com/fwlink/?linkid=870924
Comment:
    Mention of the claims 5, 6, 7, 13, 14, 15 &amp; 19).
Reply:
    INEFFECTIVE!
Die Entscheidung ist wirkungslos. Die Klage ist am 05.03.2018 und 05.10.2018 zurückgenommen worden. </t>
      </text>
    </comment>
    <comment ref="M41" authorId="35" shapeId="0" xr:uid="{ED216E9D-8A6A-49DF-9FC3-1FBCDE55F43D}">
      <text>
        <t>[Threaded comment]
Your version of Excel allows you to read this threaded comment; however, any edits to it will get removed if the file is opened in a newer version of Excel. Learn more: https://go.microsoft.com/fwlink/?linkid=870924
Comment:
    Darts</t>
      </text>
    </comment>
    <comment ref="J42" authorId="36" shapeId="0" xr:uid="{9E33C6E2-6004-4CB5-BF87-EAC9340BF51B}">
      <text>
        <t>[Threaded comment]
Your version of Excel allows you to read this threaded comment; however, any edits to it will get removed if the file is opened in a newer version of Excel. Learn more: https://go.microsoft.com/fwlink/?linkid=870924
Comment:
    They specify some claims (1, 2, 10-14)</t>
      </text>
    </comment>
    <comment ref="M42" authorId="37" shapeId="0" xr:uid="{43B9FCFA-1570-4A5E-B915-2DB63D8F2F3F}">
      <text>
        <t>[Threaded comment]
Your version of Excel allows you to read this threaded comment; however, any edits to it will get removed if the file is opened in a newer version of Excel. Learn more: https://go.microsoft.com/fwlink/?linkid=870924
Comment:
    Darts</t>
      </text>
    </comment>
    <comment ref="J43" authorId="38" shapeId="0" xr:uid="{2018DAFE-55DE-4FC5-A39E-50A08808230B}">
      <text>
        <t>[Threaded comment]
Your version of Excel allows you to read this threaded comment; however, any edits to it will get removed if the file is opened in a newer version of Excel. Learn more: https://go.microsoft.com/fwlink/?linkid=870924
Comment:
    Replacement of claims 1 to 10.</t>
      </text>
    </comment>
    <comment ref="M44" authorId="39" shapeId="0" xr:uid="{492540C2-BEEB-405F-B775-FABF9A3CE58D}">
      <text>
        <t>[Threaded comment]
Your version of Excel allows you to read this threaded comment; however, any edits to it will get removed if the file is opened in a newer version of Excel. Learn more: https://go.microsoft.com/fwlink/?linkid=870924
Comment:
    Darts</t>
      </text>
    </comment>
    <comment ref="C45" authorId="40" shapeId="0" xr:uid="{B06D5D71-9FAC-43AB-B3BA-BC782B7D2F06}">
      <text>
        <t>[Threaded comment]
Your version of Excel allows you to read this threaded comment; however, any edits to it will get removed if the file is opened in a newer version of Excel. Learn more: https://go.microsoft.com/fwlink/?linkid=870924
Comment:
    Siete 33, VI.</t>
      </text>
    </comment>
    <comment ref="J45" authorId="41" shapeId="0" xr:uid="{181A8FB7-E331-4F41-97F5-FA80B771B555}">
      <text>
        <t>[Threaded comment]
Your version of Excel allows you to read this threaded comment; however, any edits to it will get removed if the file is opened in a newer version of Excel. Learn more: https://go.microsoft.com/fwlink/?linkid=870924
Comment:
    They specify some claims (1, 9, 10 &amp; 19)</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<sst xmlns="http://schemas.openxmlformats.org/spreadsheetml/2006/main" count="3667" uniqueCount="611">
  <si>
    <t>Aktenzeichen</t>
  </si>
  <si>
    <t>Landgericht</t>
  </si>
  <si>
    <t>Duesseldorf</t>
  </si>
  <si>
    <t>4a O 73/14</t>
  </si>
  <si>
    <t>4c O 3/17</t>
  </si>
  <si>
    <t>4c O 44/18</t>
  </si>
  <si>
    <t>4c O 56/18</t>
  </si>
  <si>
    <t>4c O 69/18</t>
  </si>
  <si>
    <t>4c O 17/19</t>
  </si>
  <si>
    <t>7 O 96/14</t>
  </si>
  <si>
    <t>Mannheim</t>
  </si>
  <si>
    <t>7 O 66/15</t>
  </si>
  <si>
    <t>7 O 115/16</t>
  </si>
  <si>
    <t>7 O 165/16</t>
  </si>
  <si>
    <t>7 O 19/16</t>
  </si>
  <si>
    <t>7 O 209/15</t>
  </si>
  <si>
    <t>7 O 18/17</t>
  </si>
  <si>
    <t>2 O 136/18</t>
  </si>
  <si>
    <t>2 O 131/19</t>
  </si>
  <si>
    <t>2 O 34/19</t>
  </si>
  <si>
    <t>7 O 36/21</t>
  </si>
  <si>
    <t>Munich</t>
  </si>
  <si>
    <t>7 O 14276/20</t>
  </si>
  <si>
    <t>7 O 8818/19</t>
  </si>
  <si>
    <t>7 O 15350/19</t>
  </si>
  <si>
    <t>No</t>
  </si>
  <si>
    <t>Darts-IP</t>
  </si>
  <si>
    <t>Kather Augenstein</t>
  </si>
  <si>
    <t>Verfügbar</t>
  </si>
  <si>
    <t>Zugehörigen Aktenzeichen</t>
  </si>
  <si>
    <t>I-15 U 41/17</t>
  </si>
  <si>
    <t>Yes</t>
  </si>
  <si>
    <t>Link</t>
  </si>
  <si>
    <t>http://www.justiz.nrw.de/nrwe/lgs/duesseldorf/lg_duesseldorf/j2015/4a_O_144_14_Urteil_20151103.html</t>
  </si>
  <si>
    <t>Link DE</t>
  </si>
  <si>
    <t>Link EN</t>
  </si>
  <si>
    <t>-</t>
  </si>
  <si>
    <t>??</t>
  </si>
  <si>
    <t>http://www.justiz.nrw.de/nrwe/lgs/duesseldorf/lg_duesseldorf/j2016/4b_O_51_14_Schlussurteil_20160119.html</t>
  </si>
  <si>
    <t>4a O 73/14; I-15 U 35/16</t>
  </si>
  <si>
    <t>http://www.justiz.nrw.de/nrwe/lgs/duesseldorf/lg_duesseldorf/j2016/4a_O_126_14_Teil_Verzichts_und_Schlussurteil_20160331.html</t>
  </si>
  <si>
    <t>https://www.katheraugenstein.com/app/uploads/2016-03-31-4a-O-73_14-DE-pdf-2.pdf</t>
  </si>
  <si>
    <t>https://www.katheraugenstein.com/app/uploads/2016-03-31-4a-O-73_14-EN-pdf-1.pdf</t>
  </si>
  <si>
    <t>http://www.justiz.nrw.de/nrwe/lgs/duesseldorf/lg_duesseldorf/j2016/4a_O_73_14_Teil_Verzichts_und_Schlussurteil_20160331.html</t>
  </si>
  <si>
    <t>Yes*</t>
  </si>
  <si>
    <t>https://www.katheraugenstein.com/app/uploads/2017-07-13-4a-O-16_16-DE-pdf-2.pdf</t>
  </si>
  <si>
    <t>https://www.katheraugenstein.com/app/uploads/2017-07-13-4a-O-16_16-EN-pdf-1.pdf</t>
  </si>
  <si>
    <t>http://www.justiz.nrw.de/nrwe/lgs/duesseldorf/lg_duesseldorf/j2017/4a_O_16_16_Urteil_20170713.html</t>
  </si>
  <si>
    <t>http://www.justiz.nrw.de/nrwe/lgs/duesseldorf/lg_duesseldorf/j2017/4a_O_35_16_Urteil_20170713.html</t>
  </si>
  <si>
    <t>http://www.justiz.nrw.de/nrwe/lgs/duesseldorf/lg_duesseldorf/j2018/4c_O_72_17_Urteil_20180711.html</t>
  </si>
  <si>
    <t>http://www.justiz.nrw.de/nrwe/lgs/duesseldorf/lg_duesseldorf/j2018/4c_O_77_17_Urteil_20180711.html</t>
  </si>
  <si>
    <t>http://www.justiz.nrw.de/nrwe/lgs/duesseldorf/lg_duesseldorf/j2018/4a_O_15_17_Urteil_20181109.html</t>
  </si>
  <si>
    <t>http://www.justiz.nrw.de/nrwe/lgs/duesseldorf/lg_duesseldorf/j2018/4a_O_17_17_Urteil_20181109.html</t>
  </si>
  <si>
    <t>https://www.katheraugenstein.com/app/uploads/2018-11-09-4a-O-15_17-DE-pdf.pdf</t>
  </si>
  <si>
    <t>https://www.katheraugenstein.com/app/uploads/2018-11-09-4a-O-15_17-EN-pdf.pdf</t>
  </si>
  <si>
    <t>http://www.justiz.nrw.de/nrwe/lgs/duesseldorf/lg_duesseldorf/j2018/4c_O_3_17_Urteil_20181221.html</t>
  </si>
  <si>
    <t>https://www.katheraugenstein.com/app/uploads/2018-11-09-4a-O-17_17-DE-pdf.pdf</t>
  </si>
  <si>
    <t>https://www.katheraugenstein.com/app/uploads/2018-11-09-4a-O-17_17-EN-pdf.pdf</t>
  </si>
  <si>
    <t>https://www.katheraugenstein.com:443/app/uploads/2018-07-11-4c-O-81_17-DE-pdf-2.pdf</t>
  </si>
  <si>
    <t>https://www.katheraugenstein.com:443/app/uploads/2018-07-11-4c-O-81_17-EN-pdf-2.pdf</t>
  </si>
  <si>
    <t>http://www.justiz.nrw.de/nrwe/lgs/duesseldorf/lg_duesseldorf/j2018/4c_O_81_17_Urteil_20180711.html</t>
  </si>
  <si>
    <t>http://www.justiz.nrw.de/nrwe/lgs/duesseldorf/lg_duesseldorf/j2019/4c_O_12_17_Urteil_20190108.html</t>
  </si>
  <si>
    <t>http://www.justiz.nrw.de/nrwe/lgs/duesseldorf/lg_duesseldorf/j2020/4c_O_44_18_Urteil_20200507.html</t>
  </si>
  <si>
    <t>http://www.justiz.nrw.de/nrwe/lgs/duesseldorf/lg_duesseldorf/j2020/4c_O_56_18_Urteil_20200507.html</t>
  </si>
  <si>
    <t>http://www.justiz.nrw.de/nrwe/lgs/duesseldorf/lg_duesseldorf/j2020/4c_O_69_18_Anerkenntnisurteil_20200507.html</t>
  </si>
  <si>
    <t>https://www.katheraugenstein.com:443/app/uploads/2020-11-26-LG-Duesseldorf-4c-O-17_19_DE.pdf</t>
  </si>
  <si>
    <t>https://www.katheraugenstein.com:443/app/uploads/2020-11-26-LG-Duesseldorf-4c-O-17_19_EN.pdf</t>
  </si>
  <si>
    <t>http://www.justiz.nrw.de/nrwe/lgs/duesseldorf/lg_duesseldorf/j2020/4c_O_17_19_Beschluss_20201126.html</t>
  </si>
  <si>
    <t>4a O 144/14</t>
  </si>
  <si>
    <t>4b O 51/14</t>
  </si>
  <si>
    <t>4a O 126/14</t>
  </si>
  <si>
    <t>4a O 16/16</t>
  </si>
  <si>
    <t>4a O 35/16</t>
  </si>
  <si>
    <t>4c O 72/17</t>
  </si>
  <si>
    <t>4c O 77/17</t>
  </si>
  <si>
    <t>4a O 15/17</t>
  </si>
  <si>
    <t>4a O 17/17</t>
  </si>
  <si>
    <t>4c O 81/17</t>
  </si>
  <si>
    <t>4c O 12/17</t>
  </si>
  <si>
    <t>eJustiz</t>
  </si>
  <si>
    <t>6 U 55/16</t>
  </si>
  <si>
    <t>https://openjur.de/u/884742.html</t>
  </si>
  <si>
    <t>http://lrbw.juris.de/cgi-bin/laender_rechtsprechung/document.py?Gericht=bw&amp;GerichtAuswahl=Landgerichte&amp;Art=en&amp;sid=0790c421fe7d2d5a437b3b2305786018&amp;nr=20517&amp;anz=1&amp;pos=0&amp;Blank=1</t>
  </si>
  <si>
    <t>https://openjur.de/u/878158.html</t>
  </si>
  <si>
    <t>http://lrbw.juris.de/cgi-bin/laender_rechtsprechung/document.py?Gericht=bw&amp;GerichtAuswahl=Landgerichte&amp;Art=en&amp;sid=8366362dbe6de75dedf5f0aa93fa55fa&amp;nr=20430&amp;anz=1&amp;pos=0&amp;Blank=1</t>
  </si>
  <si>
    <t>https://www.katheraugenstein.com:443/app/uploads/DE-LG-Mannheim-7-O-115-16.pdf</t>
  </si>
  <si>
    <t>https://www.katheraugenstein.com:443/app/uploads/EN-Regional-Court-Mannheim-7-O-115-16.pdf</t>
  </si>
  <si>
    <t>https://www.katheraugenstein.com:443/app/uploads/2018-07-13-7-O-165_16-DE-pdf-2.pdf</t>
  </si>
  <si>
    <t>https://www.katheraugenstein.com:443/app/uploads/2018-09-28-7-O-165_16-EN-pdf-1-2.pdf</t>
  </si>
  <si>
    <t>https://www.katheraugenstein.com:443/app/uploads/2016-11-17-7-O-19_16-DE-pdf-3.pdf</t>
  </si>
  <si>
    <t>https://www.katheraugenstein.com:443/app/uploads/2016-11-17-7-O-19_16-EN-pdf-3.pdf</t>
  </si>
  <si>
    <t>http://lrbw.juris.de/cgi-bin/laender_rechtsprechung/document.py?Gericht=bw&amp;GerichtAuswahl=Landgerichte&amp;Art=en&amp;sid=6e6a9d26ac6aee935c628e75dd026e34&amp;nr=21539&amp;anz=1&amp;pos=0&amp;Blank=1</t>
  </si>
  <si>
    <t>http://lrbw.juris.de/cgi-bin/laender_rechtsprechung/document.py?Gericht=bw&amp;nr=21580</t>
  </si>
  <si>
    <t>http://lrbw.juris.de/cgi-bin/laender_rechtsprechung/document.py?Gericht=bw&amp;Datum=2023&amp;nr=21580&amp;Blank=1</t>
  </si>
  <si>
    <t>Yes (no search)</t>
  </si>
  <si>
    <t>https://www.katheraugenstein.com:443/app/uploads/2018-03-02-7-O-18-17-DE-KBR-Richtig.pdf</t>
  </si>
  <si>
    <t>https://www.katheraugenstein.com:443/app/uploads/2018-03-02-7-O-18_17-EN-pdf.pdf</t>
  </si>
  <si>
    <t>https://www.katheraugenstein.com:443/app/uploads/2020-08-21-LG-Mannheim-2-O-136_18-DE.pdf</t>
  </si>
  <si>
    <t>https://www.katheraugenstein.com:443/app/uploads/2020-08-21-LG-Mannheim-2-O-136_18-EN.pdf</t>
  </si>
  <si>
    <t>https://www.katheraugenstein.com:443/app/uploads/2021-03-02-LG-Mannheim-2-O-131-19-DE.pdf</t>
  </si>
  <si>
    <t>https://www.katheraugenstein.com:443/app/uploads/2021-03-02-LG-Mannheim-2-O-131-19-EN.pdf</t>
  </si>
  <si>
    <t>https://www.katheraugenstein.com:443/app/uploads/2020-08-18-LG-Mannheim-2-O-34_19-DE.pdf</t>
  </si>
  <si>
    <t>https://www.katheraugenstein.com:443/app/uploads/2020-08-18-LG-Mannheim-2-O-34_19-EN.pdf</t>
  </si>
  <si>
    <t>https://www.katheraugenstein.com:443/app/uploads/2021-06-24-LG-Muenchen-7-O-36-21-DE.pdf</t>
  </si>
  <si>
    <t>https://www.katheraugenstein.com:443/app/uploads/2021-06-24-RC-Munich-7-O-36-21-EN.pdf</t>
  </si>
  <si>
    <t>https://www.katheraugenstein.com:443/app/uploads/2021-01-28-LG-Muenchen-I-7-O-14276-20-DE.pdf</t>
  </si>
  <si>
    <t>https://www.katheraugenstein.com:443/app/uploads/2021-01-28-LG-Muenchen-I-7-O-14276-20-EN.pdf</t>
  </si>
  <si>
    <t>https://www.katheraugenstein.com:443/app/uploads/2020-09-10-LG-Muenchen-7-O-8818_19-DE.pdf</t>
  </si>
  <si>
    <t>https://www.katheraugenstein.com:443/app/uploads/2020-09-10-LG-Muenchen-7-O-8818_19-EN.pdf</t>
  </si>
  <si>
    <t>https://www.gesetze-bayern.de/Content/Document/Y-300-Z-GRURRS-B-2021-N-23157</t>
  </si>
  <si>
    <t>Klage auf Unterlassung</t>
  </si>
  <si>
    <t>Urteil</t>
  </si>
  <si>
    <t> 08.09.2014</t>
  </si>
  <si>
    <t>03.11.2015</t>
  </si>
  <si>
    <t>10.03.2014</t>
  </si>
  <si>
    <t>19.01.2016</t>
  </si>
  <si>
    <t>23.07.2014</t>
  </si>
  <si>
    <t>31.03.2016</t>
  </si>
  <si>
    <t>15.11.2016</t>
  </si>
  <si>
    <t>13.07.2017</t>
  </si>
  <si>
    <t>15.09.2017</t>
  </si>
  <si>
    <t>11.07.2018</t>
  </si>
  <si>
    <t>31.01.2017</t>
  </si>
  <si>
    <t>15.03.2017</t>
  </si>
  <si>
    <t>09.11.2018</t>
  </si>
  <si>
    <t>01.04.2017</t>
  </si>
  <si>
    <t>21.12.2018</t>
  </si>
  <si>
    <t>01.06.2017</t>
  </si>
  <si>
    <t>15.06.2016</t>
  </si>
  <si>
    <t>08.01.2019</t>
  </si>
  <si>
    <t>01.10.2018</t>
  </si>
  <si>
    <t>07.05.2020</t>
  </si>
  <si>
    <t>01.12.2018</t>
  </si>
  <si>
    <t>15.03.2019</t>
  </si>
  <si>
    <t>26.11.2020</t>
  </si>
  <si>
    <t>01.07.2014</t>
  </si>
  <si>
    <t>08.01.2016</t>
  </si>
  <si>
    <t>15.04.2015</t>
  </si>
  <si>
    <t>29.01.2016</t>
  </si>
  <si>
    <t>04.10.2016</t>
  </si>
  <si>
    <t>04.09.2019</t>
  </si>
  <si>
    <t>30.01.2017</t>
  </si>
  <si>
    <t>13.07.2018</t>
  </si>
  <si>
    <t>16.10.2015</t>
  </si>
  <si>
    <t>17.11.2016</t>
  </si>
  <si>
    <t>29.11.2016</t>
  </si>
  <si>
    <t>02.03.2018</t>
  </si>
  <si>
    <t>01.03.2018</t>
  </si>
  <si>
    <t>21.08.2020</t>
  </si>
  <si>
    <t>15.11.2019</t>
  </si>
  <si>
    <t>02.03.2021</t>
  </si>
  <si>
    <t>01.04.2019</t>
  </si>
  <si>
    <t>18.08.2020</t>
  </si>
  <si>
    <t>24.06.2021</t>
  </si>
  <si>
    <t>28.01.2021</t>
  </si>
  <si>
    <t>10.09.2020</t>
  </si>
  <si>
    <t>19.02.2021</t>
  </si>
  <si>
    <t>19.08.2021</t>
  </si>
  <si>
    <t>Prehuawei</t>
  </si>
  <si>
    <t>AASI</t>
  </si>
  <si>
    <t>4c O 24/19</t>
  </si>
  <si>
    <t>2 O 75/21</t>
  </si>
  <si>
    <t>7 O 91/22</t>
  </si>
  <si>
    <t>7 O 28/16</t>
  </si>
  <si>
    <t>2 O 106/14</t>
  </si>
  <si>
    <t>21 O 11522/21</t>
  </si>
  <si>
    <t>21 O 8879/21; 21 O 8890/21</t>
  </si>
  <si>
    <t>7 O 14912/19</t>
  </si>
  <si>
    <t>21 O 1910/22</t>
  </si>
  <si>
    <t>21 O 4140/21</t>
  </si>
  <si>
    <t>Die Beklagte wird verurteilt zu unterlassen</t>
  </si>
  <si>
    <t>Entscheidung (Untrelassung)</t>
  </si>
  <si>
    <t>21 O 9333/19</t>
  </si>
  <si>
    <t>4b O 52/14</t>
  </si>
  <si>
    <t>4a O 27/16</t>
  </si>
  <si>
    <t>4a O 154/15</t>
  </si>
  <si>
    <t>14d O 13/17</t>
  </si>
  <si>
    <t>7 O 38/14</t>
  </si>
  <si>
    <t>7 O 26/14</t>
  </si>
  <si>
    <t>7 O 298/15</t>
  </si>
  <si>
    <t>2 O 130/15</t>
  </si>
  <si>
    <t>2 O 229/15</t>
  </si>
  <si>
    <t>7 O 43/16</t>
  </si>
  <si>
    <t>7 O 44/16</t>
  </si>
  <si>
    <t>7 O 213/15</t>
  </si>
  <si>
    <t>7 O 212/15</t>
  </si>
  <si>
    <t>7 O 31/16</t>
  </si>
  <si>
    <t>7 O 98/16</t>
  </si>
  <si>
    <t>2 O 98/16</t>
  </si>
  <si>
    <t>https://www.katheraugenstein.com/app/uploads/2019-04-24-4c-O-24_19-DE.pdf</t>
  </si>
  <si>
    <t>https://www.katheraugenstein.com/app/uploads/2019-04-24-4c-O-24_19-EN.pdf</t>
  </si>
  <si>
    <t>24.04.2019</t>
  </si>
  <si>
    <t>05.07.2022</t>
  </si>
  <si>
    <t>14.04.2023</t>
  </si>
  <si>
    <t>https://www.katheraugenstein.com/app/uploads/2023-08-01-Landgericht-Mannheim-Beschluss-vom-14.04.2023-Az.-7-O-91_22.pdf</t>
  </si>
  <si>
    <t>https://www.katheraugenstein.com/app/uploads/2023-08-01-Regional-Court-Mannheim_-Decision-14.04.2023_-Az.-7-O-91_22.pdf</t>
  </si>
  <si>
    <t>https://www.katheraugenstein.com/app/uploads/2022-07-05-LG-Mannheim-2-O-75_21-LTE-Mobilfunkstandard.pdf</t>
  </si>
  <si>
    <t>https://www.katheraugenstein.com/app/uploads/2022-07-05-Regional-Court-Mannheim-2-O-75_21-LTE-Mobilfunkstandard-EN.pdf</t>
  </si>
  <si>
    <t>https://www.katheraugenstein.com/app/uploads/2017-11-10-7-O-28_16-DE-pdf-1.pdf</t>
  </si>
  <si>
    <t>https://www.katheraugenstein.com/app/uploads/2017-11-10-7-O-28_16-EN-pdf-1.pdf</t>
  </si>
  <si>
    <t>https://www.katheraugenstein.com/app/uploads/2015-11-27-2-O-106_-14-DE-pdf.pdf</t>
  </si>
  <si>
    <t>https://www.katheraugenstein.com/app/uploads/2015-11-27-2-O-106_14-EN-pdf-1.pdf</t>
  </si>
  <si>
    <t>http://lrbw.juris.de/cgi-bin/laender_rechtsprechung/document.py?Gericht=bw&amp;GerichtAuswahl=Landgerichte&amp;Art=en&amp;sid=f3caef45b2432c5f65740b9bb5cc38da&amp;nr=20078&amp;anz=1&amp;pos=0&amp;Blank=1</t>
  </si>
  <si>
    <t>https://www.katheraugenstein.com/app/uploads/LG-Muenchen-I-05.08.2022-21-O-11522_21-Pitch-Lag-Schaetzung.pdf</t>
  </si>
  <si>
    <t>https://www.katheraugenstein.com/app/uploads/LG-Muenchen-I-05.08.2022-21-O-11522_21-Pitch-Lag-Schaetzung-EN.pdf</t>
  </si>
  <si>
    <t>https://www.gesetze-bayern.de/Content/Document/Y-300-Z-GRURRS-B-2020-N-22577?hl=true</t>
  </si>
  <si>
    <t>https://www.gesetze-bayern.de/Content/Document/Y-300-Z-GRURRS-B-2021-N-3995?hl=true</t>
  </si>
  <si>
    <t>https://www.gesetze-bayern.de/Content/Document/Y-300-Z-GRURRS-B-2021-N-17662?hl=true</t>
  </si>
  <si>
    <t>https://www.gesetze-bayern.de/Content/Document/Y-300-Z-GRURRS-B-2022-N-26267?hl=true</t>
  </si>
  <si>
    <t>https://www.katheraugenstein.com/app/uploads/2022-05-25-LG-Muenchen-I-7-O-14091_19-Sprachsignalcodierer-II.pdf</t>
  </si>
  <si>
    <t>https://www.katheraugenstein.com/app/uploads/2022-05-25-Regional-Court-Munich-I-7-O-14091_19-Sprachsignalcodierer-II-EN.pdf</t>
  </si>
  <si>
    <t>25.05.2022</t>
  </si>
  <si>
    <t>10.11.2017</t>
  </si>
  <si>
    <t>27.11.2015</t>
  </si>
  <si>
    <t>05.08.2022</t>
  </si>
  <si>
    <t>19.04.2023</t>
  </si>
  <si>
    <t>https://www.katheraugenstein.com/app/uploads/2023-04-19-LG-Muenchen-I-21-O-1910_22-Rahmenloeschung.pdf</t>
  </si>
  <si>
    <t>https://www.katheraugenstein.com/app/uploads/2023-04-19-Regional-Court-Munich-I-21-O-1910_22-Rahmenloeschung_en.pdf</t>
  </si>
  <si>
    <t>https://www.gesetze-bayern.de/Content/Document/Y-300-Z-GRURRS-B-2023-N-18036?hl=true</t>
  </si>
  <si>
    <t>https://www.gesetze-bayern.de/Content/Document/Y-300-Z-GRURRS-B-2023-N-11247?hl=true</t>
  </si>
  <si>
    <t>17.02.2023</t>
  </si>
  <si>
    <t>https://www.katheraugenstein.com/app/uploads/2023-02-17-LG-Muenchen-21-O-4140_21.pdf</t>
  </si>
  <si>
    <t>https://www.katheraugenstein.com/app/uploads/2023-02-17-Regional-Court-Munich-21-O-4140_21.pdf</t>
  </si>
  <si>
    <t>https://www.gesetze-bayern.de/Content/Document/Y-300-Z-BECKRS-B-2019-N-25536?hl=true</t>
  </si>
  <si>
    <t>11.07.2019</t>
  </si>
  <si>
    <t>https://www.katheraugenstein.com/app/uploads/DE-21-O-9333-19.pdf</t>
  </si>
  <si>
    <t>https://www.katheraugenstein.com/app/uploads/EN-21-O-9333-19.pdf</t>
  </si>
  <si>
    <t>https://www.katheraugenstein.com/app/uploads/2020-09-10-LG-Muenchen-7-O-8818_19-DE.pdf</t>
  </si>
  <si>
    <t>https://www.katheraugenstein.com/app/uploads/2020-09-10-LG-Muenchen-7-O-8818_19-EN.pdf</t>
  </si>
  <si>
    <t>https://www.gesetze-bayern.de/Content/Document/Y-300-Z-GRURRS-B-2022-N-13480?hl=true</t>
  </si>
  <si>
    <t>https://www.justiz.nrw.de/nrwe/lgs/duesseldorf/lg_duesseldorf/j2016/4b_O_52_14_Schlussurteil_20160119.html</t>
  </si>
  <si>
    <t>https://www.justiz.nrw.de/nrwe/lgs/duesseldorf/lg_duesseldorf/j2017/4a_O_27_16_Urteil_20170713.html</t>
  </si>
  <si>
    <t>https://www.justiz.nrw.de/nrwe/lgs/duesseldorf/lg_duesseldorf/j2017/4a_O_154_15_Urteil_20170713.html</t>
  </si>
  <si>
    <t>https://www.justiz.nrw.de/nrwe/lgs/duesseldorf/lg_duesseldorf/j2017/14d_O_13_17_Urteil_20171109.html</t>
  </si>
  <si>
    <t>09.11.2017</t>
  </si>
  <si>
    <t>26.02.2016</t>
  </si>
  <si>
    <t>Yes!</t>
  </si>
  <si>
    <t>7 O 24/14</t>
  </si>
  <si>
    <t>25.10.2016</t>
  </si>
  <si>
    <t>25.11.2016</t>
  </si>
  <si>
    <t>27.01.2017</t>
  </si>
  <si>
    <t>24.02.2017</t>
  </si>
  <si>
    <t>17.03.2017</t>
  </si>
  <si>
    <t>23.05.2017</t>
  </si>
  <si>
    <t>Streitwert</t>
  </si>
  <si>
    <t>5000000/30000000</t>
  </si>
  <si>
    <t>30000000/10000000</t>
  </si>
  <si>
    <t>?</t>
  </si>
  <si>
    <t>Yes?</t>
  </si>
  <si>
    <t>No?</t>
  </si>
  <si>
    <t>Yes!*</t>
  </si>
  <si>
    <t>08.07.2021</t>
  </si>
  <si>
    <t>all of these should be checked</t>
  </si>
  <si>
    <t>15.06.2014</t>
  </si>
  <si>
    <t>23.03.2022</t>
  </si>
  <si>
    <t>18.01.2023</t>
  </si>
  <si>
    <t>21.09.2022/</t>
  </si>
  <si>
    <t>28.06.2019</t>
  </si>
  <si>
    <t>2000000/1600000</t>
  </si>
  <si>
    <t>11.06.2015</t>
  </si>
  <si>
    <t>18.03.2016</t>
  </si>
  <si>
    <t>14.05.2014</t>
  </si>
  <si>
    <t>16.09.2019</t>
  </si>
  <si>
    <t>03.02.2016</t>
  </si>
  <si>
    <t>21.03.2014</t>
  </si>
  <si>
    <t>26.02.2014</t>
  </si>
  <si>
    <t>01.03.2014</t>
  </si>
  <si>
    <t>09.11.2015</t>
  </si>
  <si>
    <t>28.02.2016</t>
  </si>
  <si>
    <t>01.03.2016</t>
  </si>
  <si>
    <t>05.11.2015</t>
  </si>
  <si>
    <t>08.02.2016</t>
  </si>
  <si>
    <t>23.05.2016</t>
  </si>
  <si>
    <t>09.06.2016</t>
  </si>
  <si>
    <t>1000000/250000</t>
  </si>
  <si>
    <t>21.11.2014/04.03.2016</t>
  </si>
  <si>
    <t>21.11.2014/11.03.2016</t>
  </si>
  <si>
    <t>First contact</t>
  </si>
  <si>
    <t>Date of complaint</t>
  </si>
  <si>
    <t>First licensing offer</t>
  </si>
  <si>
    <t>First notice of infringement (first complaint)</t>
  </si>
  <si>
    <t>Date of decision</t>
  </si>
  <si>
    <t>Dominant position</t>
  </si>
  <si>
    <t>Abuse of dominant position</t>
  </si>
  <si>
    <t>Notice of Infringement</t>
  </si>
  <si>
    <t>Willingness to license</t>
  </si>
  <si>
    <t>FRAND offer</t>
  </si>
  <si>
    <t>Pool</t>
  </si>
  <si>
    <t>Worldwide</t>
  </si>
  <si>
    <t>18.12.2014</t>
  </si>
  <si>
    <t>20.12.2012</t>
  </si>
  <si>
    <t>22.06.2014</t>
  </si>
  <si>
    <t>12.05.2014</t>
  </si>
  <si>
    <t>12.11.2014</t>
  </si>
  <si>
    <t>18.02.2016</t>
  </si>
  <si>
    <t>09.04.2016</t>
  </si>
  <si>
    <t>25.08.2017</t>
  </si>
  <si>
    <t>11.09.2017</t>
  </si>
  <si>
    <t>24.09.2017</t>
  </si>
  <si>
    <t>05.02.2017</t>
  </si>
  <si>
    <t>11.01.2017</t>
  </si>
  <si>
    <t>10.02.2017</t>
  </si>
  <si>
    <t>24.09.2018</t>
  </si>
  <si>
    <t>22.11.2018</t>
  </si>
  <si>
    <t>21.03.2019</t>
  </si>
  <si>
    <t>05.04.2015</t>
  </si>
  <si>
    <t>02.07.2016</t>
  </si>
  <si>
    <t>23.09.2016</t>
  </si>
  <si>
    <t>31.10.2015</t>
  </si>
  <si>
    <t>29.01.2017</t>
  </si>
  <si>
    <t>17.10.2018</t>
  </si>
  <si>
    <t>30.10.2020</t>
  </si>
  <si>
    <t>10.10.2019</t>
  </si>
  <si>
    <t>06.11.2015</t>
  </si>
  <si>
    <t>13.10.2014</t>
  </si>
  <si>
    <t>First notice of infringement (first contact?)</t>
  </si>
  <si>
    <t>Formal</t>
  </si>
  <si>
    <t>Substantially</t>
  </si>
  <si>
    <t>04.12.2012</t>
  </si>
  <si>
    <t>08.09.2014</t>
  </si>
  <si>
    <t>31.07.2014</t>
  </si>
  <si>
    <t>22.04.2015</t>
  </si>
  <si>
    <t>25.03.2016</t>
  </si>
  <si>
    <t>08.09.2011</t>
  </si>
  <si>
    <t>06.09.2011</t>
  </si>
  <si>
    <t>06.10.2015</t>
  </si>
  <si>
    <t>27.01.2016</t>
  </si>
  <si>
    <t>03.09.2018</t>
  </si>
  <si>
    <t>09.11.2016</t>
  </si>
  <si>
    <t>07.09.2017</t>
  </si>
  <si>
    <t>07.09.2015</t>
  </si>
  <si>
    <t>08.09.2016</t>
  </si>
  <si>
    <t>21.08.2019</t>
  </si>
  <si>
    <t>01.03.2021</t>
  </si>
  <si>
    <t>13.03.2015</t>
  </si>
  <si>
    <t>13.05.2015</t>
  </si>
  <si>
    <t>28.07.2015</t>
  </si>
  <si>
    <t>13.12.2005/01.06.2009</t>
  </si>
  <si>
    <t>17.09.2015</t>
  </si>
  <si>
    <t>01.12.2014</t>
  </si>
  <si>
    <t>01.02.2016</t>
  </si>
  <si>
    <t>19.03.2014</t>
  </si>
  <si>
    <t>01.06.2016</t>
  </si>
  <si>
    <t>01.06.2015</t>
  </si>
  <si>
    <t>n./a.</t>
  </si>
  <si>
    <t>15.12.2014</t>
  </si>
  <si>
    <t>03.08.2015</t>
  </si>
  <si>
    <t>05.07.2014</t>
  </si>
  <si>
    <t>29.03.2016</t>
  </si>
  <si>
    <t>Result of the appeal</t>
  </si>
  <si>
    <t>Patent Validity Proceedings</t>
  </si>
  <si>
    <t>Result of the Patent Validity</t>
  </si>
  <si>
    <t>Patents</t>
  </si>
  <si>
    <t>Bundesgerichtshof</t>
  </si>
  <si>
    <t>Reversed in part</t>
  </si>
  <si>
    <t>Further proceedings</t>
  </si>
  <si>
    <t>OLG Appeal</t>
  </si>
  <si>
    <t>OLG First instance</t>
  </si>
  <si>
    <t>LG mirrored</t>
  </si>
  <si>
    <t>Result of the f.instance</t>
  </si>
  <si>
    <t>Result of the Judicial Review</t>
  </si>
  <si>
    <t>EP01913904(A), EP1264504</t>
  </si>
  <si>
    <t>EP99952183(A), EP1125284</t>
  </si>
  <si>
    <t>Upheld</t>
  </si>
  <si>
    <t>EP99952199(A), EP1125276</t>
  </si>
  <si>
    <t>EP06007976(A), EP1694020(B1)</t>
  </si>
  <si>
    <t>EP06007976(A), EP1694020</t>
  </si>
  <si>
    <t>EP04020471(A), EP1487113(B1)</t>
  </si>
  <si>
    <t>EP03811870(A), EP1569460(B1)</t>
  </si>
  <si>
    <t>EP07100277(A), EP1773067(B1)</t>
  </si>
  <si>
    <t>Withdrawn</t>
  </si>
  <si>
    <t>Reversed and remand</t>
  </si>
  <si>
    <t>EP07022122(A), EP1887806(B1)</t>
  </si>
  <si>
    <t>EP12794438(A), EP2777270</t>
  </si>
  <si>
    <t>Same</t>
  </si>
  <si>
    <t>EP11714644(A), EP2559245</t>
  </si>
  <si>
    <t>EP03751150(A), EP1557072</t>
  </si>
  <si>
    <t>EP07804979(A), EP2087629(B1)</t>
  </si>
  <si>
    <t>EP08000573(A), EP1914945</t>
  </si>
  <si>
    <t>EP99947502(A), EP1119997(B1)</t>
  </si>
  <si>
    <t>EP09741793(A), EP2294737</t>
  </si>
  <si>
    <t>EP02775087(A), EP1440525</t>
  </si>
  <si>
    <t>EP99965566(A), EP1062744(B1)</t>
  </si>
  <si>
    <t>Reversed</t>
  </si>
  <si>
    <t>EP13003937(A), EP2667676(B1)</t>
  </si>
  <si>
    <t>EP14889618(A), EP3132443</t>
  </si>
  <si>
    <t>EP15181110(A), EP2981103, EP17163537(A), EP3220562</t>
  </si>
  <si>
    <t>Rejected the application for temporarily stop</t>
  </si>
  <si>
    <t>EP04728378(A), EP1623511(B1)</t>
  </si>
  <si>
    <t>EP07826610(A), EP2080193</t>
  </si>
  <si>
    <t>EP03727094(A), EP1509903</t>
  </si>
  <si>
    <t>EP96931826(A), EP0852885</t>
  </si>
  <si>
    <t>DE19910239(A), DE19910239</t>
  </si>
  <si>
    <t>EP96301947(A), EP0734181(B1)</t>
  </si>
  <si>
    <t>EP97909543(A), EP0888687</t>
  </si>
  <si>
    <t>EP05799607(A), EP1815647</t>
  </si>
  <si>
    <t>EP99964682(A), EP1062743, EP99969233(A), EP1062745</t>
  </si>
  <si>
    <t>EP04728378(A), EP1623511</t>
  </si>
  <si>
    <t>EP00931376(A), EP1186034(B1)</t>
  </si>
  <si>
    <t>EP99126132(A), EP0991054</t>
  </si>
  <si>
    <t>Upheld?</t>
  </si>
  <si>
    <t>Espacenet</t>
  </si>
  <si>
    <t>DE60130436T2, DE60130436T3</t>
  </si>
  <si>
    <t>DE69910058T2, DE69910239T2, DE69910240T2, DE69913724T2</t>
  </si>
  <si>
    <t>NOT USED</t>
  </si>
  <si>
    <t>DE60130436T2, DE60130436T4</t>
  </si>
  <si>
    <t>DE1161820T1, DE60027414T2</t>
  </si>
  <si>
    <t>DE1161820T1, DE60027414T3</t>
  </si>
  <si>
    <t>DE60320243T2</t>
  </si>
  <si>
    <t>DE69719582T2</t>
  </si>
  <si>
    <t>DE602006000464T2</t>
  </si>
  <si>
    <t>DE69924130C5, DE69924130T2</t>
  </si>
  <si>
    <t>EP99969233(A), EP1062745(B1); EP99964682(A), EP1062743(B1)</t>
  </si>
  <si>
    <t>DE69933654T2, DE69934577T2, DE69935715T2</t>
  </si>
  <si>
    <t>DE602004005179T2</t>
  </si>
  <si>
    <t>DE69910240T2, DE69913724T2</t>
  </si>
  <si>
    <t>DE69635453C5, DE69635453T2</t>
  </si>
  <si>
    <t>DE69635453C5, DE69635453T3</t>
  </si>
  <si>
    <t>DE19910239A1, DE19910239B4, DE20024006U1, DE20024007U1</t>
  </si>
  <si>
    <t>DE69628487T2</t>
  </si>
  <si>
    <t>DE69628487T3</t>
  </si>
  <si>
    <t>DE69708693C5, DE69708693T2, DE69708696T2, DE69708697T2, DE69710505T2, DE69710794T2, DE69711715T2, DE69712535T2, DE69712537T2, DE69712538T2, DE69712539T2, DE69712927T2, DE69712928T2, DE69713633T2, DE69715478T2, DE69721595T2, DE69723324T2, DE69730316T2</t>
  </si>
  <si>
    <t>Invalid for Germany</t>
  </si>
  <si>
    <t>Partially invalid for Germany</t>
  </si>
  <si>
    <t>EP15181110(A), EP2981103(B1)</t>
  </si>
  <si>
    <t>Charges dismissed</t>
  </si>
  <si>
    <t>Aktenzeichen Bundespatetgerichts</t>
  </si>
  <si>
    <t>Entscheidungsdatum</t>
  </si>
  <si>
    <t>Beschwerdesdatum</t>
  </si>
  <si>
    <t>6 Ni 15/15 (EP)</t>
  </si>
  <si>
    <t>14.02.2018</t>
  </si>
  <si>
    <t>http://juris.bundespatentgericht.de/cgi-bin/rechtsprechung/document.py?Gericht=bpatg&amp;Art=en&amp;sid=1d78632798b85c831df59d6be5dfa5b4&amp;nr=29853&amp;pos=0&amp;anz=1&amp;Blank=1.pdf</t>
  </si>
  <si>
    <t>6 Ni 6/16 (EP)</t>
  </si>
  <si>
    <t>http://juris.bundespatentgericht.de/cgi-bin/rechtsprechung/document.py?Gericht=bpatg&amp;Art=en&amp;sid=14e273bb9e03002bf8855902c01530ec&amp;nr=29046&amp;pos=0&amp;anz=1&amp;Blank=1.pdf</t>
  </si>
  <si>
    <t>12.02.2020</t>
  </si>
  <si>
    <t>5 Ni 50/16 (EP)</t>
  </si>
  <si>
    <t>http://juris.bundespatentgericht.de/cgi-bin/rechtsprechung/document.py?Gericht=bpatg&amp;Art=en&amp;sid=cceed9fc9f9ffc523f1ae12263bfc901&amp;nr=39046&amp;pos=0&amp;anz=1&amp;Blank=1.pdf</t>
  </si>
  <si>
    <t>http://juris.bundespatentgericht.de/cgi-bin/rechtsprechung/document.py?Gericht=bpatg&amp;Art=en&amp;sid=2a46cbd669d30945f37f9bc0306cdede&amp;nr=43699&amp;pos=0&amp;anz=1&amp;Blank=1.pdf</t>
  </si>
  <si>
    <t>2 Ni 39/21 (EP)</t>
  </si>
  <si>
    <t>16.03.2023</t>
  </si>
  <si>
    <t>http://juris.bundespatentgericht.de/cgi-bin/rechtsprechung/document.py?Gericht=bpatg&amp;Art=en&amp;sid=512d6819bb3a9180b75a48161f5aff05&amp;nr=43641&amp;pos=0&amp;anz=1&amp;Blank=1.pdf</t>
  </si>
  <si>
    <t>27.01.2023</t>
  </si>
  <si>
    <t>2 Ni 7/21 (EP)</t>
  </si>
  <si>
    <t>17.03.2022</t>
  </si>
  <si>
    <t>2 Ni 37/20 (EP)</t>
  </si>
  <si>
    <t>http://juris.bundespatentgericht.de/cgi-bin/rechtsprechung/document.py?Gericht=bpatg&amp;Art=en&amp;sid=53950807634dcf53171690d1a110fef0&amp;nr=43025&amp;pos=0&amp;anz=1&amp;Blank=1.pdf</t>
  </si>
  <si>
    <t>6 Ni 70/16 (EP)</t>
  </si>
  <si>
    <t>http://juris.bundespatentgericht.de/cgi-bin/rechtsprechung/document.py?Gericht=bpatg&amp;Art=en&amp;sid=72dab1f480256d994d46d296e1d81f0e&amp;nr=34383&amp;pos=0&amp;anz=1&amp;Blank=1.pdf</t>
  </si>
  <si>
    <t>2 Ni 14/17 (EP)</t>
  </si>
  <si>
    <t>19.09.2019</t>
  </si>
  <si>
    <t>http://juris.bundespatentgericht.de/cgi-bin/rechtsprechung/document.py?Gericht=bpatg&amp;Art=en&amp;sid=75f141e9346b099fa6b6be07eb8d05a5&amp;nr=39474&amp;pos=0&amp;anz=1&amp;Blank=1.pdf</t>
  </si>
  <si>
    <t>2 Ni 10/17 (EP)</t>
  </si>
  <si>
    <t>25.03.2019</t>
  </si>
  <si>
    <t>http://juris.bundespatentgericht.de/cgi-bin/rechtsprechung/document.py?Gericht=bpatg&amp;Art=en&amp;sid=b33d1bbc43fde716904fd6352120093b&amp;nr=34377&amp;pos=0&amp;anz=1&amp;Blank=1.pdf</t>
  </si>
  <si>
    <t>http://juris.bundespatentgericht.de/cgi-bin/rechtsprechung/document.py?Gericht=bpatg&amp;Art=en&amp;sid=bbc8084d4a1b275b62cfa1c3e7203c48&amp;nr=39474&amp;pos=0&amp;anz=1&amp;Blank=1.pdf</t>
  </si>
  <si>
    <t>4 Ni 11/21 (EP)</t>
  </si>
  <si>
    <t>02.08.2022</t>
  </si>
  <si>
    <t>http://juris.bundespatentgericht.de/cgi-bin/rechtsprechung/document.py?Gericht=bpatg&amp;Art=en&amp;sid=94908c89b72e65e1f7d29010c2144ab1&amp;nr=43267&amp;pos=0&amp;anz=1&amp;Blank=1.pdf</t>
  </si>
  <si>
    <t>http://juris.bundespatentgericht.de/cgi-bin/rechtsprechung/document.py?Gericht=bpatg&amp;Art=en&amp;sid=3652ff2c1f99b1fe95e3eef59630f1fa&amp;nr=38914&amp;pos=0&amp;anz=1&amp;Blank=1.pdf</t>
  </si>
  <si>
    <t>09.01.2020</t>
  </si>
  <si>
    <t>6 Ni 50/16 (EP)</t>
  </si>
  <si>
    <t>4 Ni 9/21 (EP)</t>
  </si>
  <si>
    <t>06.12.2021</t>
  </si>
  <si>
    <t>http://juris.bundespatentgericht.de/cgi-bin/rechtsprechung/document.py?Gericht=bpatg&amp;Art=en&amp;sid=c6c57cea8d597be4ddff88df5e0c1bd4&amp;nr=42398&amp;pos=0&amp;anz=1&amp;Blank=1.pdf</t>
  </si>
  <si>
    <t>http://juris.bundespatentgericht.de/cgi-bin/rechtsprechung/document.py?Gericht=bpatg&amp;Art=en&amp;sid=ffd14ec36a6dfbd64662b605345661a0&amp;nr=43641&amp;pos=0&amp;anz=1&amp;Blank=1.pdf</t>
  </si>
  <si>
    <t>6 Ni 10/15 (EP)</t>
  </si>
  <si>
    <t>06.10.2017</t>
  </si>
  <si>
    <t>http://juris.bundespatentgericht.de/cgi-bin/rechtsprechung/document.py?Gericht=bpatg&amp;Art=en&amp;sid=1740b61095c41bc7591b0735ca03401a&amp;nr=36064&amp;pos=0&amp;anz=1&amp;Blank=1.pdf</t>
  </si>
  <si>
    <t>http://juris.bundespatentgericht.de/cgi-bin/rechtsprechung/document.py?Gericht=bpatg&amp;Art=en&amp;sid=591686bf13eeae126c67a6bd158e28d8&amp;nr=29077&amp;pos=0&amp;anz=1&amp;Blank=1.pdf</t>
  </si>
  <si>
    <t>02.02.2017</t>
  </si>
  <si>
    <t>2 Ni 5/16 (EP)</t>
  </si>
  <si>
    <t>http://juris.bundespatentgericht.de/cgi-bin/rechtsprechung/document.py?Gericht=bpatg&amp;Art=en&amp;sid=ddb6b4977af588ff2df7ce84427473b5&amp;nr=34377&amp;pos=0&amp;anz=1&amp;Blank=1.pdf</t>
  </si>
  <si>
    <t>5 Ni 38/16 (EP)</t>
  </si>
  <si>
    <t>26.06.2019</t>
  </si>
  <si>
    <t>http://juris.bundespatentgericht.de/cgi-bin/rechtsprechung/document.py?Gericht=bpatg&amp;Art=en&amp;sid=5688c2d62c5fd7a11b2b8759c2350e57&amp;nr=36914&amp;pos=0&amp;anz=1&amp;Blank=1.pdf</t>
  </si>
  <si>
    <t>6 Ni 67/16 (EP)</t>
  </si>
  <si>
    <t>05.12.2018</t>
  </si>
  <si>
    <t>http://juris.bundespatentgericht.de/cgi-bin/rechtsprechung/document.py?Gericht=bpatg&amp;Art=en&amp;sid=0bea35bd8712808b6b1afc35cd8c17f9&amp;nr=34416&amp;pos=0&amp;anz=1&amp;Blank=1.pdf</t>
  </si>
  <si>
    <t>http://juris.bundespatentgericht.de/cgi-bin/rechtsprechung/document.py?Gericht=bpatg&amp;Art=en&amp;sid=c7af110d065a7de705de0f054d1a4b27&amp;nr=38914&amp;pos=0&amp;anz=1&amp;Blank=1.pdf</t>
  </si>
  <si>
    <t>2 Ni 28/16 (EP)</t>
  </si>
  <si>
    <t>26.07.2017</t>
  </si>
  <si>
    <t>http://juris.bundespatentgericht.de/cgi-bin/rechtsprechung/document.py?Gericht=bpatg&amp;Art=en&amp;sid=bbaa34385701eb9b0de4e1625a453b0b&amp;nr=29412&amp;pos=0&amp;anz=1&amp;Blank=1.pdf</t>
  </si>
  <si>
    <t>04.05.2016</t>
  </si>
  <si>
    <t>12.05.2016</t>
  </si>
  <si>
    <t>10.03.2017?</t>
  </si>
  <si>
    <t>10.11.2016</t>
  </si>
  <si>
    <t>26.07.2019?</t>
  </si>
  <si>
    <t>26.07.2016</t>
  </si>
  <si>
    <t>04.07.2016</t>
  </si>
  <si>
    <t>31.07.2015</t>
  </si>
  <si>
    <t>29.03.2019</t>
  </si>
  <si>
    <t>08.04.2019</t>
  </si>
  <si>
    <t>08.04.2016</t>
  </si>
  <si>
    <t>08.05.2020</t>
  </si>
  <si>
    <t>pre-Huawei</t>
  </si>
  <si>
    <t>post-Huawei</t>
  </si>
  <si>
    <t>Klage</t>
  </si>
  <si>
    <t>Injunction</t>
  </si>
  <si>
    <t>Amount lower</t>
  </si>
  <si>
    <t>Amount upper</t>
  </si>
  <si>
    <t>Injunction granted</t>
  </si>
  <si>
    <t>Not granted</t>
  </si>
  <si>
    <t>&lt;1M</t>
  </si>
  <si>
    <t>1-2.5M</t>
  </si>
  <si>
    <t>4-5M</t>
  </si>
  <si>
    <t>&gt;20M</t>
  </si>
  <si>
    <t>Category</t>
  </si>
  <si>
    <t>Amount average</t>
  </si>
  <si>
    <t>10-19M</t>
  </si>
  <si>
    <t>04.03.2016</t>
  </si>
  <si>
    <t>11.03.2016</t>
  </si>
  <si>
    <t>Decision</t>
  </si>
  <si>
    <t>Complaint</t>
  </si>
  <si>
    <t>Contact</t>
  </si>
  <si>
    <t>Offer</t>
  </si>
  <si>
    <t>Complaint-Decision lag</t>
  </si>
  <si>
    <t>Less than 1 year</t>
  </si>
  <si>
    <t>1 to 2 years</t>
  </si>
  <si>
    <t>2 to 3 years</t>
  </si>
  <si>
    <t>3 to 5 years</t>
  </si>
  <si>
    <t>More than 5 years</t>
  </si>
  <si>
    <t>Contact-Complaint lag</t>
  </si>
  <si>
    <t>Offer-Complaint lag</t>
  </si>
  <si>
    <t>POTENTIAL PROBLEM WITH</t>
  </si>
  <si>
    <t>NEGATIVE DATES</t>
  </si>
  <si>
    <t>NEGATIVE DAYS</t>
  </si>
  <si>
    <t>Decision's date</t>
  </si>
  <si>
    <t>Complaint's date</t>
  </si>
  <si>
    <t>PatVal Decision's date</t>
  </si>
  <si>
    <t>PatVal Complaint's date</t>
  </si>
  <si>
    <t>Patent Validity lag</t>
  </si>
  <si>
    <t>DUPLICATES</t>
  </si>
  <si>
    <t>Injunction not granted</t>
  </si>
  <si>
    <t>first contact by pool administrator much earlier (even though date is XXX); that is the contact that was deemed sufficient; licensing offer was made at 7. November 2017. I would suggest that date of first contact is unknown here (reflecing the xxx)</t>
  </si>
  <si>
    <t>first contact by pool administrator much earlier (even though date is XXX); that is the contact that was deemed sufficient</t>
  </si>
  <si>
    <t>Klageerweiterung am 19.02.2021</t>
  </si>
  <si>
    <t>there are only 5 cases with more than 5 years</t>
  </si>
  <si>
    <t>Injunction-Validity lag</t>
  </si>
  <si>
    <t>Median Injunction-Validity lag</t>
  </si>
  <si>
    <t>Injunction case</t>
  </si>
  <si>
    <t>Validity case</t>
  </si>
  <si>
    <t>Injunctions granted</t>
  </si>
  <si>
    <t>Percentage of challenged</t>
  </si>
  <si>
    <t>Percentage of not challenged</t>
  </si>
  <si>
    <t>Patents not challenged</t>
  </si>
  <si>
    <t>Patents challenged</t>
  </si>
  <si>
    <t>25.03.2015</t>
  </si>
  <si>
    <t>01.11.2013</t>
  </si>
  <si>
    <t>First contact by pool</t>
  </si>
  <si>
    <t>03.11.2008</t>
  </si>
  <si>
    <t>earlier (date unknown) [para 34]</t>
  </si>
  <si>
    <t>earlier (date unknown) [para 37]</t>
  </si>
  <si>
    <t>earlier (date unknown) [para 31]</t>
  </si>
  <si>
    <t>21.06.2016</t>
  </si>
  <si>
    <t>13.12.2005</t>
  </si>
  <si>
    <t>21.09.2022</t>
  </si>
  <si>
    <t>07.11.2017</t>
  </si>
  <si>
    <t>Injunctions with conflicting validity decision</t>
  </si>
  <si>
    <t>Injunctions w.o. conflicting validity decision</t>
  </si>
  <si>
    <t>06.11.2014</t>
  </si>
  <si>
    <t>19.10.2017</t>
  </si>
  <si>
    <t>24.08.2017</t>
  </si>
  <si>
    <t>24.07.2019</t>
  </si>
  <si>
    <t>EP02021307(A), EP1267348</t>
  </si>
  <si>
    <t>05.06.2015</t>
  </si>
  <si>
    <t>03.07.2015</t>
  </si>
  <si>
    <t>6 Ni 24/17 (EP)</t>
  </si>
  <si>
    <t>http://juris.bundespatentgericht.de/cgi-bin/rechtsprechung/document.py?Gericht=bpatg&amp;Art=en&amp;sid=9be8db4304df34a7cf8fe900676cd57d&amp;nr=37403&amp;pos=0&amp;anz=1&amp;Blank=1.pdf</t>
  </si>
  <si>
    <t>02.10.2019</t>
  </si>
  <si>
    <t>17.06.2019</t>
  </si>
  <si>
    <t>13.11.2018</t>
  </si>
  <si>
    <t>http://juris.bundespatentgericht.de/cgi-bin/rechtsprechung/document.py?Gericht=bpatg&amp;Art=en&amp;sid=b7368e91684c1e0fa0058a1a34d5c60a&amp;nr=33531&amp;pos=1&amp;anz=4&amp;Blank=1.pdf</t>
  </si>
  <si>
    <t>6 Ni 39/16 (EP)</t>
  </si>
  <si>
    <t>24.03.2016</t>
  </si>
  <si>
    <t>04.12.2019</t>
  </si>
  <si>
    <t>5 Ni 24/19 (EP)</t>
  </si>
  <si>
    <t>5 Ni 60/21 (EP)</t>
  </si>
  <si>
    <t>4 Ni 6/15 (EP), 6 Ni 7/16 (EP), 6 Ni 63/16 (EP), 4 Ni 33/14 (EP)</t>
  </si>
  <si>
    <t>19.04.2022</t>
  </si>
  <si>
    <t>4 Ni 33/22 (EP)</t>
  </si>
  <si>
    <t>6 Ni 2/20 (EP), 8 Ni 12/23 (EP), 4 Ni 7/22 (EP)</t>
  </si>
  <si>
    <t>10.02.2020, 09.02.2020</t>
  </si>
  <si>
    <t>19 W (pat) 69/13</t>
  </si>
  <si>
    <t>12.04.2016</t>
  </si>
  <si>
    <t>21.11.2013</t>
  </si>
  <si>
    <t>Fully revoked</t>
  </si>
  <si>
    <t>2 Ni 36/17 (EP), 2 Ni 19/21 (EP)</t>
  </si>
  <si>
    <t>03.07.2017, 22.04.2021</t>
  </si>
  <si>
    <t>2 Ni 66/17 (EP), 7 Ni 21/19 (EP)</t>
  </si>
  <si>
    <t>2 Ni 48/17 (EP), 2 Ni 51/17 (EP)</t>
  </si>
  <si>
    <t>5 Ni 7/19 (EP)</t>
  </si>
  <si>
    <t>2 Ni 23/16, 2 Ni 38/17 (EP), 2 Ni 10/15 (EP)</t>
  </si>
  <si>
    <t>5 Ni 30/15 (EP)</t>
  </si>
  <si>
    <t>Percentage of said conflicting</t>
  </si>
  <si>
    <t>http://juris.bundespatentgericht.de/cgi-bin/rechtsprechung/document.py?Gericht=bpatg&amp;Art=en&amp;sid=aff07b20593ede41bbe8007fa65d4a0d&amp;nr=28089&amp;pos=1&amp;anz=2&amp;Blank=1.pdf</t>
  </si>
  <si>
    <t>count</t>
  </si>
  <si>
    <t>unique</t>
  </si>
  <si>
    <t>top</t>
  </si>
  <si>
    <t>freq</t>
  </si>
  <si>
    <t>Frequency Table for Landgericht</t>
  </si>
  <si>
    <t>Total</t>
  </si>
  <si>
    <t>Frequency Table for Pool</t>
  </si>
  <si>
    <t>Frequency Table for Worldwide</t>
  </si>
  <si>
    <t>Frequency Table for Further proceedings</t>
  </si>
  <si>
    <t>Distribution of Dominant position</t>
  </si>
  <si>
    <t>Distribution of Abuse of Dominant position</t>
  </si>
  <si>
    <t>Distribution of Notice of Infringement</t>
  </si>
  <si>
    <t>Distribution of Willingness to license</t>
  </si>
  <si>
    <t>Distribution of FRAND offer</t>
  </si>
  <si>
    <t>Distribution of Formal</t>
  </si>
  <si>
    <t>Distribution of Substantially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</si>
</sst>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rgb="FF333333"/>
      <name val="Calibri"/>
      <family val="2"/>
      <scheme val="minor"/>
    </font>
    <font>
      <sz val="11"/>
      <color theme="1" tint="0.499984740745262"/>
      <name val="Calibri"/>
      <family val="2"/>
      <scheme val="minor"/>
    </font>
    <font>
      <sz val="8"/>
      <name val="Calibri"/>
      <family val="2"/>
      <scheme val="minor"/>
    </font>
  </fonts>
  <fills count="11">
    <fill>
      <patternFill patternType="none"/>
    </fill>
    <fill>
      <patternFill patternType="gray125"/>
    </fill>
    <fill>
      <patternFill patternType="solid">
        <fgColor theme="8"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theme="5"/>
        <bgColor indexed="64"/>
      </patternFill>
    </fill>
    <fill>
      <patternFill patternType="solid">
        <fgColor theme="7"/>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1" fillId="0" borderId="0" xfId="1"/>
    <xf numFmtId="0" fontId="1" fillId="0" borderId="0" xfId="1" applyFill="1" applyBorder="1"/>
    <xf numFmtId="17" fontId="0" fillId="0" borderId="0" xfId="0" applyNumberFormat="1"/>
    <xf numFmtId="0" fontId="2" fillId="0" borderId="0" xfId="1" applyFont="1"/>
    <xf numFmtId="0" fontId="1" fillId="2" borderId="0" xfId="1" applyFill="1" applyBorder="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0" fillId="3" borderId="0" xfId="0" applyFill="1"/>
    <xf numFmtId="0" fontId="0" fillId="4" borderId="0" xfId="0" applyFill="1"/>
    <xf numFmtId="0" fontId="0" fillId="5" borderId="0" xfId="0" applyFill="1"/>
    <xf numFmtId="0" fontId="0" fillId="6" borderId="0" xfId="0" applyFill="1"/>
    <xf numFmtId="14" fontId="3" fillId="0" borderId="0" xfId="0" applyNumberFormat="1" applyFont="1"/>
    <xf numFmtId="14" fontId="0" fillId="0" borderId="0" xfId="0" applyNumberFormat="1"/>
    <xf numFmtId="0" fontId="0" fillId="0" borderId="0" xfId="0" applyAlignment="1">
      <alignment vertical="center"/>
    </xf>
    <xf numFmtId="0" fontId="3" fillId="4" borderId="0" xfId="0" applyFont="1" applyFill="1"/>
    <xf numFmtId="0" fontId="0" fillId="7" borderId="0" xfId="0" applyFill="1"/>
    <xf numFmtId="0" fontId="0" fillId="8" borderId="0" xfId="0" applyFill="1"/>
    <xf numFmtId="17" fontId="5" fillId="8" borderId="0" xfId="0" applyNumberFormat="1" applyFont="1" applyFill="1"/>
    <xf numFmtId="0" fontId="0" fillId="9" borderId="0" xfId="0" applyFill="1"/>
    <xf numFmtId="0" fontId="0" fillId="10" borderId="0" xfId="0" applyFill="1"/>
    <xf numFmtId="0" fontId="3" fillId="7" borderId="0" xfId="0" applyFont="1" applyFill="1"/>
    <xf numFmtId="0" fontId="0" fillId="0" borderId="0" xfId="0" applyAlignment="1">
      <alignment horizontal="center"/>
    </xf>
    <xf numFmtId="0" fontId="0" fillId="0" borderId="0" xfId="0" applyAlignment="1">
      <alignment horizontal="center" vertical="center"/>
    </xf>
  </cellXfs>
  <cellStyles count="2">
    <cellStyle name="Hyperlink" xfId="1" builtinId="8"/>
    <cellStyle name="Normal" xfId="0" builtinId="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graphs'!$B$1</c:f>
              <c:strCache>
                <c:ptCount val="1"/>
                <c:pt idx="0">
                  <c:v>Yes</c:v>
                </c:pt>
              </c:strCache>
            </c:strRef>
          </c:tx>
          <c:spPr>
            <a:solidFill>
              <a:schemeClr val="accent1"/>
            </a:solidFill>
            <a:ln>
              <a:noFill/>
            </a:ln>
            <a:effectLst/>
          </c:spPr>
          <c:invertIfNegative val="0"/>
          <c:cat>
            <c:strRef>
              <c:f>'Old graphs'!$A$2:$A$4</c:f>
              <c:strCache>
                <c:ptCount val="3"/>
                <c:pt idx="0">
                  <c:v>Duesseldorf</c:v>
                </c:pt>
                <c:pt idx="1">
                  <c:v>Mannheim</c:v>
                </c:pt>
                <c:pt idx="2">
                  <c:v>Munich</c:v>
                </c:pt>
              </c:strCache>
            </c:strRef>
          </c:cat>
          <c:val>
            <c:numRef>
              <c:f>'Old graphs'!$B$2:$B$4</c:f>
              <c:numCache>
                <c:formatCode>General</c:formatCode>
                <c:ptCount val="3"/>
                <c:pt idx="0">
                  <c:v>10</c:v>
                </c:pt>
                <c:pt idx="1">
                  <c:v>12</c:v>
                </c:pt>
                <c:pt idx="2">
                  <c:v>5</c:v>
                </c:pt>
              </c:numCache>
            </c:numRef>
          </c:val>
          <c:extLst>
            <c:ext xmlns:c16="http://schemas.microsoft.com/office/drawing/2014/chart" uri="{C3380CC4-5D6E-409C-BE32-E72D297353CC}">
              <c16:uniqueId val="{00000000-3F96-4FD2-A12D-11A37F8D119C}"/>
            </c:ext>
          </c:extLst>
        </c:ser>
        <c:ser>
          <c:idx val="1"/>
          <c:order val="1"/>
          <c:tx>
            <c:strRef>
              <c:f>'Old graphs'!$C$1</c:f>
              <c:strCache>
                <c:ptCount val="1"/>
                <c:pt idx="0">
                  <c:v>No</c:v>
                </c:pt>
              </c:strCache>
            </c:strRef>
          </c:tx>
          <c:spPr>
            <a:solidFill>
              <a:schemeClr val="accent2"/>
            </a:solidFill>
            <a:ln>
              <a:noFill/>
            </a:ln>
            <a:effectLst/>
          </c:spPr>
          <c:invertIfNegative val="0"/>
          <c:cat>
            <c:strRef>
              <c:f>'Old graphs'!$A$2:$A$4</c:f>
              <c:strCache>
                <c:ptCount val="3"/>
                <c:pt idx="0">
                  <c:v>Duesseldorf</c:v>
                </c:pt>
                <c:pt idx="1">
                  <c:v>Mannheim</c:v>
                </c:pt>
                <c:pt idx="2">
                  <c:v>Munich</c:v>
                </c:pt>
              </c:strCache>
            </c:strRef>
          </c:cat>
          <c:val>
            <c:numRef>
              <c:f>'Old graphs'!$C$2:$C$4</c:f>
              <c:numCache>
                <c:formatCode>General</c:formatCode>
                <c:ptCount val="3"/>
                <c:pt idx="0">
                  <c:v>8</c:v>
                </c:pt>
                <c:pt idx="1">
                  <c:v>9</c:v>
                </c:pt>
                <c:pt idx="2">
                  <c:v>0</c:v>
                </c:pt>
              </c:numCache>
            </c:numRef>
          </c:val>
          <c:extLst>
            <c:ext xmlns:c16="http://schemas.microsoft.com/office/drawing/2014/chart" uri="{C3380CC4-5D6E-409C-BE32-E72D297353CC}">
              <c16:uniqueId val="{00000001-3F96-4FD2-A12D-11A37F8D119C}"/>
            </c:ext>
          </c:extLst>
        </c:ser>
        <c:ser>
          <c:idx val="2"/>
          <c:order val="2"/>
          <c:tx>
            <c:strRef>
              <c:f>'Old graphs'!$D$1</c:f>
              <c:strCache>
                <c:ptCount val="1"/>
                <c:pt idx="0">
                  <c:v>n./a.</c:v>
                </c:pt>
              </c:strCache>
            </c:strRef>
          </c:tx>
          <c:spPr>
            <a:solidFill>
              <a:schemeClr val="accent3"/>
            </a:solidFill>
            <a:ln>
              <a:noFill/>
            </a:ln>
            <a:effectLst/>
          </c:spPr>
          <c:invertIfNegative val="0"/>
          <c:cat>
            <c:strRef>
              <c:f>'Old graphs'!$A$2:$A$4</c:f>
              <c:strCache>
                <c:ptCount val="3"/>
                <c:pt idx="0">
                  <c:v>Duesseldorf</c:v>
                </c:pt>
                <c:pt idx="1">
                  <c:v>Mannheim</c:v>
                </c:pt>
                <c:pt idx="2">
                  <c:v>Munich</c:v>
                </c:pt>
              </c:strCache>
            </c:strRef>
          </c:cat>
          <c:val>
            <c:numRef>
              <c:f>'Old graphs'!$D$2:$D$4</c:f>
              <c:numCache>
                <c:formatCode>General</c:formatCode>
                <c:ptCount val="3"/>
                <c:pt idx="0">
                  <c:v>1</c:v>
                </c:pt>
                <c:pt idx="1">
                  <c:v>0</c:v>
                </c:pt>
                <c:pt idx="2">
                  <c:v>0</c:v>
                </c:pt>
              </c:numCache>
            </c:numRef>
          </c:val>
          <c:extLst>
            <c:ext xmlns:c16="http://schemas.microsoft.com/office/drawing/2014/chart" uri="{C3380CC4-5D6E-409C-BE32-E72D297353CC}">
              <c16:uniqueId val="{00000002-3F96-4FD2-A12D-11A37F8D119C}"/>
            </c:ext>
          </c:extLst>
        </c:ser>
        <c:dLbls>
          <c:showLegendKey val="0"/>
          <c:showVal val="0"/>
          <c:showCatName val="0"/>
          <c:showSerName val="0"/>
          <c:showPercent val="0"/>
          <c:showBubbleSize val="0"/>
        </c:dLbls>
        <c:gapWidth val="219"/>
        <c:overlap val="-27"/>
        <c:axId val="1742997008"/>
        <c:axId val="1754075072"/>
      </c:barChart>
      <c:catAx>
        <c:axId val="174299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75072"/>
        <c:crosses val="autoZero"/>
        <c:auto val="1"/>
        <c:lblAlgn val="ctr"/>
        <c:lblOffset val="100"/>
        <c:noMultiLvlLbl val="0"/>
      </c:catAx>
      <c:valAx>
        <c:axId val="175407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97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decisions in databes by year of ruling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'Old graphs'!$J$1</c:f>
              <c:strCache>
                <c:ptCount val="1"/>
                <c:pt idx="0">
                  <c:v>pre-Huawei</c:v>
                </c:pt>
              </c:strCache>
            </c:strRef>
          </c:tx>
          <c:spPr>
            <a:solidFill>
              <a:schemeClr val="accent1"/>
            </a:solidFill>
            <a:ln>
              <a:noFill/>
            </a:ln>
            <a:effectLst/>
          </c:spPr>
          <c:invertIfNegative val="0"/>
          <c:cat>
            <c:numRef>
              <c:f>'Old graphs'!$I$2:$I$11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'Old graphs'!$J$2:$J$11</c:f>
              <c:numCache>
                <c:formatCode>General</c:formatCode>
                <c:ptCount val="10"/>
                <c:pt idx="0">
                  <c:v>0</c:v>
                </c:pt>
                <c:pt idx="1">
                  <c:v>2</c:v>
                </c:pt>
                <c:pt idx="2">
                  <c:v>7</c:v>
                </c:pt>
                <c:pt idx="3">
                  <c:v>1</c:v>
                </c:pt>
                <c:pt idx="4">
                  <c:v>0</c:v>
                </c:pt>
                <c:pt idx="5">
                  <c:v>0</c:v>
                </c:pt>
                <c:pt idx="6">
                  <c:v>0</c:v>
                </c:pt>
                <c:pt idx="7">
                  <c:v>0</c:v>
                </c:pt>
                <c:pt idx="8">
                  <c:v>0</c:v>
                </c:pt>
                <c:pt idx="9">
                  <c:v>0</c:v>
                </c:pt>
              </c:numCache>
            </c:numRef>
          </c:val>
          <c:extLst>
            <c:ext xmlns:c16="http://schemas.microsoft.com/office/drawing/2014/chart" uri="{C3380CC4-5D6E-409C-BE32-E72D297353CC}">
              <c16:uniqueId val="{00000000-D8F8-414B-BB3A-C24792EABC2E}"/>
            </c:ext>
          </c:extLst>
        </c:ser>
        <c:ser>
          <c:idx val="1"/>
          <c:order val="1"/>
          <c:tx>
            <c:strRef>
              <c:f>'Old graphs'!$K$1</c:f>
              <c:strCache>
                <c:ptCount val="1"/>
                <c:pt idx="0">
                  <c:v>post-Huawei</c:v>
                </c:pt>
              </c:strCache>
            </c:strRef>
          </c:tx>
          <c:spPr>
            <a:solidFill>
              <a:schemeClr val="accent2"/>
            </a:solidFill>
            <a:ln>
              <a:noFill/>
            </a:ln>
            <a:effectLst/>
          </c:spPr>
          <c:invertIfNegative val="0"/>
          <c:cat>
            <c:numRef>
              <c:f>'Old graphs'!$I$2:$I$11</c:f>
              <c:numCache>
                <c:formatCode>General</c:formatCode>
                <c:ptCount val="10"/>
                <c:pt idx="0">
                  <c:v>2014</c:v>
                </c:pt>
                <c:pt idx="1">
                  <c:v>2015</c:v>
                </c:pt>
                <c:pt idx="2">
                  <c:v>2016</c:v>
                </c:pt>
                <c:pt idx="3">
                  <c:v>2017</c:v>
                </c:pt>
                <c:pt idx="4">
                  <c:v>2018</c:v>
                </c:pt>
                <c:pt idx="5">
                  <c:v>2019</c:v>
                </c:pt>
                <c:pt idx="6">
                  <c:v>2020</c:v>
                </c:pt>
                <c:pt idx="7">
                  <c:v>2021</c:v>
                </c:pt>
                <c:pt idx="8">
                  <c:v>2022</c:v>
                </c:pt>
                <c:pt idx="9">
                  <c:v>2023</c:v>
                </c:pt>
              </c:numCache>
            </c:numRef>
          </c:cat>
          <c:val>
            <c:numRef>
              <c:f>'Old graphs'!$K$2:$K$11</c:f>
              <c:numCache>
                <c:formatCode>General</c:formatCode>
                <c:ptCount val="10"/>
                <c:pt idx="0">
                  <c:v>0</c:v>
                </c:pt>
                <c:pt idx="1">
                  <c:v>0</c:v>
                </c:pt>
                <c:pt idx="2">
                  <c:v>4</c:v>
                </c:pt>
                <c:pt idx="3">
                  <c:v>8</c:v>
                </c:pt>
                <c:pt idx="4">
                  <c:v>8</c:v>
                </c:pt>
                <c:pt idx="5">
                  <c:v>2</c:v>
                </c:pt>
                <c:pt idx="6">
                  <c:v>7</c:v>
                </c:pt>
                <c:pt idx="7">
                  <c:v>2</c:v>
                </c:pt>
                <c:pt idx="8">
                  <c:v>2</c:v>
                </c:pt>
                <c:pt idx="9">
                  <c:v>2</c:v>
                </c:pt>
              </c:numCache>
            </c:numRef>
          </c:val>
          <c:extLst>
            <c:ext xmlns:c16="http://schemas.microsoft.com/office/drawing/2014/chart" uri="{C3380CC4-5D6E-409C-BE32-E72D297353CC}">
              <c16:uniqueId val="{00000001-D8F8-414B-BB3A-C24792EABC2E}"/>
            </c:ext>
          </c:extLst>
        </c:ser>
        <c:dLbls>
          <c:showLegendKey val="0"/>
          <c:showVal val="0"/>
          <c:showCatName val="0"/>
          <c:showSerName val="0"/>
          <c:showPercent val="0"/>
          <c:showBubbleSize val="0"/>
        </c:dLbls>
        <c:gapWidth val="150"/>
        <c:overlap val="100"/>
        <c:axId val="1457818496"/>
        <c:axId val="1754066144"/>
      </c:barChart>
      <c:catAx>
        <c:axId val="145781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66144"/>
        <c:crosses val="autoZero"/>
        <c:auto val="1"/>
        <c:lblAlgn val="ctr"/>
        <c:lblOffset val="100"/>
        <c:noMultiLvlLbl val="0"/>
      </c:catAx>
      <c:valAx>
        <c:axId val="175406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81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graphs'!$P$2</c:f>
              <c:strCache>
                <c:ptCount val="1"/>
                <c:pt idx="0">
                  <c:v>Yes</c:v>
                </c:pt>
              </c:strCache>
            </c:strRef>
          </c:tx>
          <c:spPr>
            <a:solidFill>
              <a:schemeClr val="accent1"/>
            </a:solidFill>
            <a:ln>
              <a:noFill/>
            </a:ln>
            <a:effectLst/>
          </c:spPr>
          <c:invertIfNegative val="0"/>
          <c:cat>
            <c:strRef>
              <c:f>'Old graphs'!$Q$1:$R$1</c:f>
              <c:strCache>
                <c:ptCount val="2"/>
                <c:pt idx="0">
                  <c:v>pre-Huawei</c:v>
                </c:pt>
                <c:pt idx="1">
                  <c:v>post-Huawei</c:v>
                </c:pt>
              </c:strCache>
            </c:strRef>
          </c:cat>
          <c:val>
            <c:numRef>
              <c:f>'Old graphs'!$Q$2:$R$2</c:f>
              <c:numCache>
                <c:formatCode>General</c:formatCode>
                <c:ptCount val="2"/>
                <c:pt idx="0">
                  <c:v>8</c:v>
                </c:pt>
                <c:pt idx="1">
                  <c:v>19</c:v>
                </c:pt>
              </c:numCache>
            </c:numRef>
          </c:val>
          <c:extLst>
            <c:ext xmlns:c16="http://schemas.microsoft.com/office/drawing/2014/chart" uri="{C3380CC4-5D6E-409C-BE32-E72D297353CC}">
              <c16:uniqueId val="{00000000-1B50-4C75-9374-F87A1E3E2B39}"/>
            </c:ext>
          </c:extLst>
        </c:ser>
        <c:ser>
          <c:idx val="1"/>
          <c:order val="1"/>
          <c:tx>
            <c:strRef>
              <c:f>'Old graphs'!$P$3</c:f>
              <c:strCache>
                <c:ptCount val="1"/>
                <c:pt idx="0">
                  <c:v>No</c:v>
                </c:pt>
              </c:strCache>
            </c:strRef>
          </c:tx>
          <c:spPr>
            <a:solidFill>
              <a:schemeClr val="accent2"/>
            </a:solidFill>
            <a:ln>
              <a:noFill/>
            </a:ln>
            <a:effectLst/>
          </c:spPr>
          <c:invertIfNegative val="0"/>
          <c:cat>
            <c:strRef>
              <c:f>'Old graphs'!$Q$1:$R$1</c:f>
              <c:strCache>
                <c:ptCount val="2"/>
                <c:pt idx="0">
                  <c:v>pre-Huawei</c:v>
                </c:pt>
                <c:pt idx="1">
                  <c:v>post-Huawei</c:v>
                </c:pt>
              </c:strCache>
            </c:strRef>
          </c:cat>
          <c:val>
            <c:numRef>
              <c:f>'Old graphs'!$Q$3:$R$3</c:f>
              <c:numCache>
                <c:formatCode>General</c:formatCode>
                <c:ptCount val="2"/>
                <c:pt idx="0">
                  <c:v>2</c:v>
                </c:pt>
                <c:pt idx="1">
                  <c:v>15</c:v>
                </c:pt>
              </c:numCache>
            </c:numRef>
          </c:val>
          <c:extLst>
            <c:ext xmlns:c16="http://schemas.microsoft.com/office/drawing/2014/chart" uri="{C3380CC4-5D6E-409C-BE32-E72D297353CC}">
              <c16:uniqueId val="{00000001-1B50-4C75-9374-F87A1E3E2B39}"/>
            </c:ext>
          </c:extLst>
        </c:ser>
        <c:ser>
          <c:idx val="2"/>
          <c:order val="2"/>
          <c:tx>
            <c:strRef>
              <c:f>'Old graphs'!$P$4</c:f>
              <c:strCache>
                <c:ptCount val="1"/>
                <c:pt idx="0">
                  <c:v>n./a.</c:v>
                </c:pt>
              </c:strCache>
            </c:strRef>
          </c:tx>
          <c:spPr>
            <a:solidFill>
              <a:schemeClr val="accent3"/>
            </a:solidFill>
            <a:ln>
              <a:noFill/>
            </a:ln>
            <a:effectLst/>
          </c:spPr>
          <c:invertIfNegative val="0"/>
          <c:cat>
            <c:strRef>
              <c:f>'Old graphs'!$Q$1:$R$1</c:f>
              <c:strCache>
                <c:ptCount val="2"/>
                <c:pt idx="0">
                  <c:v>pre-Huawei</c:v>
                </c:pt>
                <c:pt idx="1">
                  <c:v>post-Huawei</c:v>
                </c:pt>
              </c:strCache>
            </c:strRef>
          </c:cat>
          <c:val>
            <c:numRef>
              <c:f>'Old graphs'!$Q$4:$R$4</c:f>
              <c:numCache>
                <c:formatCode>General</c:formatCode>
                <c:ptCount val="2"/>
                <c:pt idx="0">
                  <c:v>0</c:v>
                </c:pt>
                <c:pt idx="1">
                  <c:v>1</c:v>
                </c:pt>
              </c:numCache>
            </c:numRef>
          </c:val>
          <c:extLst>
            <c:ext xmlns:c16="http://schemas.microsoft.com/office/drawing/2014/chart" uri="{C3380CC4-5D6E-409C-BE32-E72D297353CC}">
              <c16:uniqueId val="{00000002-1B50-4C75-9374-F87A1E3E2B39}"/>
            </c:ext>
          </c:extLst>
        </c:ser>
        <c:dLbls>
          <c:showLegendKey val="0"/>
          <c:showVal val="0"/>
          <c:showCatName val="0"/>
          <c:showSerName val="0"/>
          <c:showPercent val="0"/>
          <c:showBubbleSize val="0"/>
        </c:dLbls>
        <c:gapWidth val="219"/>
        <c:overlap val="-27"/>
        <c:axId val="27065008"/>
        <c:axId val="1754036880"/>
      </c:barChart>
      <c:catAx>
        <c:axId val="27065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36880"/>
        <c:crosses val="autoZero"/>
        <c:auto val="1"/>
        <c:lblAlgn val="ctr"/>
        <c:lblOffset val="100"/>
        <c:noMultiLvlLbl val="0"/>
      </c:catAx>
      <c:valAx>
        <c:axId val="175403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50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a:t>
            </a:r>
            <a:r>
              <a:rPr lang="en-US" baseline="0"/>
              <a:t> granted? - transition cases excluded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graphs'!$X$1</c:f>
              <c:strCache>
                <c:ptCount val="1"/>
                <c:pt idx="0">
                  <c:v>Yes</c:v>
                </c:pt>
              </c:strCache>
            </c:strRef>
          </c:tx>
          <c:spPr>
            <a:solidFill>
              <a:schemeClr val="accent1"/>
            </a:solidFill>
            <a:ln>
              <a:noFill/>
            </a:ln>
            <a:effectLst/>
          </c:spPr>
          <c:invertIfNegative val="0"/>
          <c:cat>
            <c:strRef>
              <c:f>'Old graphs'!$W$2:$W$4</c:f>
              <c:strCache>
                <c:ptCount val="3"/>
                <c:pt idx="0">
                  <c:v>Duesseldorf</c:v>
                </c:pt>
                <c:pt idx="1">
                  <c:v>Mannheim</c:v>
                </c:pt>
                <c:pt idx="2">
                  <c:v>Munich</c:v>
                </c:pt>
              </c:strCache>
            </c:strRef>
          </c:cat>
          <c:val>
            <c:numRef>
              <c:f>'Old graphs'!$X$2:$X$4</c:f>
              <c:numCache>
                <c:formatCode>General</c:formatCode>
                <c:ptCount val="3"/>
                <c:pt idx="0">
                  <c:v>7</c:v>
                </c:pt>
                <c:pt idx="1">
                  <c:v>7</c:v>
                </c:pt>
                <c:pt idx="2">
                  <c:v>5</c:v>
                </c:pt>
              </c:numCache>
            </c:numRef>
          </c:val>
          <c:extLst>
            <c:ext xmlns:c16="http://schemas.microsoft.com/office/drawing/2014/chart" uri="{C3380CC4-5D6E-409C-BE32-E72D297353CC}">
              <c16:uniqueId val="{00000000-D905-49BC-A349-63E782B6E83A}"/>
            </c:ext>
          </c:extLst>
        </c:ser>
        <c:ser>
          <c:idx val="1"/>
          <c:order val="1"/>
          <c:tx>
            <c:strRef>
              <c:f>'Old graphs'!$Y$1</c:f>
              <c:strCache>
                <c:ptCount val="1"/>
                <c:pt idx="0">
                  <c:v>No</c:v>
                </c:pt>
              </c:strCache>
            </c:strRef>
          </c:tx>
          <c:spPr>
            <a:solidFill>
              <a:schemeClr val="accent2"/>
            </a:solidFill>
            <a:ln>
              <a:noFill/>
            </a:ln>
            <a:effectLst/>
          </c:spPr>
          <c:invertIfNegative val="0"/>
          <c:cat>
            <c:strRef>
              <c:f>'Old graphs'!$W$2:$W$4</c:f>
              <c:strCache>
                <c:ptCount val="3"/>
                <c:pt idx="0">
                  <c:v>Duesseldorf</c:v>
                </c:pt>
                <c:pt idx="1">
                  <c:v>Mannheim</c:v>
                </c:pt>
                <c:pt idx="2">
                  <c:v>Munich</c:v>
                </c:pt>
              </c:strCache>
            </c:strRef>
          </c:cat>
          <c:val>
            <c:numRef>
              <c:f>'Old graphs'!$Y$2:$Y$4</c:f>
              <c:numCache>
                <c:formatCode>General</c:formatCode>
                <c:ptCount val="3"/>
                <c:pt idx="0">
                  <c:v>7</c:v>
                </c:pt>
                <c:pt idx="1">
                  <c:v>8</c:v>
                </c:pt>
                <c:pt idx="2">
                  <c:v>0</c:v>
                </c:pt>
              </c:numCache>
            </c:numRef>
          </c:val>
          <c:extLst>
            <c:ext xmlns:c16="http://schemas.microsoft.com/office/drawing/2014/chart" uri="{C3380CC4-5D6E-409C-BE32-E72D297353CC}">
              <c16:uniqueId val="{00000001-D905-49BC-A349-63E782B6E83A}"/>
            </c:ext>
          </c:extLst>
        </c:ser>
        <c:ser>
          <c:idx val="2"/>
          <c:order val="2"/>
          <c:tx>
            <c:strRef>
              <c:f>'Old graphs'!$Z$1</c:f>
              <c:strCache>
                <c:ptCount val="1"/>
                <c:pt idx="0">
                  <c:v>n./a.</c:v>
                </c:pt>
              </c:strCache>
            </c:strRef>
          </c:tx>
          <c:spPr>
            <a:solidFill>
              <a:schemeClr val="accent3"/>
            </a:solidFill>
            <a:ln>
              <a:noFill/>
            </a:ln>
            <a:effectLst/>
          </c:spPr>
          <c:invertIfNegative val="0"/>
          <c:cat>
            <c:strRef>
              <c:f>'Old graphs'!$W$2:$W$4</c:f>
              <c:strCache>
                <c:ptCount val="3"/>
                <c:pt idx="0">
                  <c:v>Duesseldorf</c:v>
                </c:pt>
                <c:pt idx="1">
                  <c:v>Mannheim</c:v>
                </c:pt>
                <c:pt idx="2">
                  <c:v>Munich</c:v>
                </c:pt>
              </c:strCache>
            </c:strRef>
          </c:cat>
          <c:val>
            <c:numRef>
              <c:f>'Old graphs'!$Z$2:$Z$4</c:f>
              <c:numCache>
                <c:formatCode>General</c:formatCode>
                <c:ptCount val="3"/>
                <c:pt idx="0">
                  <c:v>1</c:v>
                </c:pt>
                <c:pt idx="1">
                  <c:v>0</c:v>
                </c:pt>
                <c:pt idx="2">
                  <c:v>0</c:v>
                </c:pt>
              </c:numCache>
            </c:numRef>
          </c:val>
          <c:extLst>
            <c:ext xmlns:c16="http://schemas.microsoft.com/office/drawing/2014/chart" uri="{C3380CC4-5D6E-409C-BE32-E72D297353CC}">
              <c16:uniqueId val="{00000002-D905-49BC-A349-63E782B6E83A}"/>
            </c:ext>
          </c:extLst>
        </c:ser>
        <c:dLbls>
          <c:showLegendKey val="0"/>
          <c:showVal val="0"/>
          <c:showCatName val="0"/>
          <c:showSerName val="0"/>
          <c:showPercent val="0"/>
          <c:showBubbleSize val="0"/>
        </c:dLbls>
        <c:gapWidth val="219"/>
        <c:overlap val="-27"/>
        <c:axId val="27069808"/>
        <c:axId val="1754061184"/>
      </c:barChart>
      <c:catAx>
        <c:axId val="2706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061184"/>
        <c:crosses val="autoZero"/>
        <c:auto val="1"/>
        <c:lblAlgn val="ctr"/>
        <c:lblOffset val="100"/>
        <c:noMultiLvlLbl val="0"/>
      </c:catAx>
      <c:valAx>
        <c:axId val="175406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69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 granted (by</a:t>
            </a:r>
            <a:r>
              <a:rPr lang="en-US" baseline="0"/>
              <a:t> amount in dispute)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'Old graphs'!$AM$1</c:f>
              <c:strCache>
                <c:ptCount val="1"/>
                <c:pt idx="0">
                  <c:v>Injunction granted</c:v>
                </c:pt>
              </c:strCache>
            </c:strRef>
          </c:tx>
          <c:spPr>
            <a:solidFill>
              <a:schemeClr val="accent1"/>
            </a:solidFill>
            <a:ln>
              <a:noFill/>
            </a:ln>
            <a:effectLst/>
          </c:spPr>
          <c:invertIfNegative val="0"/>
          <c:cat>
            <c:strRef>
              <c:f>'Old graphs'!$AL$2:$AL$6</c:f>
              <c:strCache>
                <c:ptCount val="5"/>
                <c:pt idx="0">
                  <c:v>&lt;1M</c:v>
                </c:pt>
                <c:pt idx="1">
                  <c:v>1-2.5M</c:v>
                </c:pt>
                <c:pt idx="2">
                  <c:v>4-5M</c:v>
                </c:pt>
                <c:pt idx="3">
                  <c:v>10-19M</c:v>
                </c:pt>
                <c:pt idx="4">
                  <c:v>&gt;20M</c:v>
                </c:pt>
              </c:strCache>
            </c:strRef>
          </c:cat>
          <c:val>
            <c:numRef>
              <c:f>'Old graphs'!$AM$2:$AM$6</c:f>
              <c:numCache>
                <c:formatCode>General</c:formatCode>
                <c:ptCount val="5"/>
                <c:pt idx="0">
                  <c:v>1</c:v>
                </c:pt>
                <c:pt idx="1">
                  <c:v>6</c:v>
                </c:pt>
                <c:pt idx="2">
                  <c:v>1</c:v>
                </c:pt>
                <c:pt idx="3">
                  <c:v>1</c:v>
                </c:pt>
                <c:pt idx="4">
                  <c:v>1</c:v>
                </c:pt>
              </c:numCache>
            </c:numRef>
          </c:val>
          <c:extLst>
            <c:ext xmlns:c16="http://schemas.microsoft.com/office/drawing/2014/chart" uri="{C3380CC4-5D6E-409C-BE32-E72D297353CC}">
              <c16:uniqueId val="{00000000-5FF1-4448-B1EF-272FC93FB7EB}"/>
            </c:ext>
          </c:extLst>
        </c:ser>
        <c:ser>
          <c:idx val="1"/>
          <c:order val="1"/>
          <c:tx>
            <c:strRef>
              <c:f>'Old graphs'!$AN$1</c:f>
              <c:strCache>
                <c:ptCount val="1"/>
                <c:pt idx="0">
                  <c:v>Not granted</c:v>
                </c:pt>
              </c:strCache>
            </c:strRef>
          </c:tx>
          <c:spPr>
            <a:solidFill>
              <a:schemeClr val="accent2"/>
            </a:solidFill>
            <a:ln>
              <a:noFill/>
            </a:ln>
            <a:effectLst/>
          </c:spPr>
          <c:invertIfNegative val="0"/>
          <c:cat>
            <c:strRef>
              <c:f>'Old graphs'!$AL$2:$AL$6</c:f>
              <c:strCache>
                <c:ptCount val="5"/>
                <c:pt idx="0">
                  <c:v>&lt;1M</c:v>
                </c:pt>
                <c:pt idx="1">
                  <c:v>1-2.5M</c:v>
                </c:pt>
                <c:pt idx="2">
                  <c:v>4-5M</c:v>
                </c:pt>
                <c:pt idx="3">
                  <c:v>10-19M</c:v>
                </c:pt>
                <c:pt idx="4">
                  <c:v>&gt;20M</c:v>
                </c:pt>
              </c:strCache>
            </c:strRef>
          </c:cat>
          <c:val>
            <c:numRef>
              <c:f>'Old graphs'!$AN$2:$AN$6</c:f>
              <c:numCache>
                <c:formatCode>General</c:formatCode>
                <c:ptCount val="5"/>
                <c:pt idx="0">
                  <c:v>2</c:v>
                </c:pt>
                <c:pt idx="1">
                  <c:v>2</c:v>
                </c:pt>
                <c:pt idx="2">
                  <c:v>3</c:v>
                </c:pt>
                <c:pt idx="3">
                  <c:v>0</c:v>
                </c:pt>
                <c:pt idx="4">
                  <c:v>0</c:v>
                </c:pt>
              </c:numCache>
            </c:numRef>
          </c:val>
          <c:extLst>
            <c:ext xmlns:c16="http://schemas.microsoft.com/office/drawing/2014/chart" uri="{C3380CC4-5D6E-409C-BE32-E72D297353CC}">
              <c16:uniqueId val="{00000001-5FF1-4448-B1EF-272FC93FB7EB}"/>
            </c:ext>
          </c:extLst>
        </c:ser>
        <c:dLbls>
          <c:showLegendKey val="0"/>
          <c:showVal val="0"/>
          <c:showCatName val="0"/>
          <c:showSerName val="0"/>
          <c:showPercent val="0"/>
          <c:showBubbleSize val="0"/>
        </c:dLbls>
        <c:gapWidth val="219"/>
        <c:overlap val="-27"/>
        <c:axId val="1472832480"/>
        <c:axId val="452677744"/>
      </c:barChart>
      <c:catAx>
        <c:axId val="147283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77744"/>
        <c:crosses val="autoZero"/>
        <c:auto val="1"/>
        <c:lblAlgn val="ctr"/>
        <c:lblOffset val="100"/>
        <c:noMultiLvlLbl val="0"/>
      </c:catAx>
      <c:valAx>
        <c:axId val="4526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83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Complaint-Decision</a:t>
            </a:r>
            <a:r>
              <a:rPr lang="en-US" baseline="0"/>
              <a:t> lag -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graphs'!$V$1</c:f>
              <c:strCache>
                <c:ptCount val="1"/>
                <c:pt idx="0">
                  <c:v>Yes</c:v>
                </c:pt>
              </c:strCache>
            </c:strRef>
          </c:tx>
          <c:spPr>
            <a:solidFill>
              <a:schemeClr val="accent1"/>
            </a:solidFill>
            <a:ln>
              <a:noFill/>
            </a:ln>
            <a:effectLst/>
          </c:spPr>
          <c:invertIfNegative val="0"/>
          <c:cat>
            <c:strRef>
              <c:f>'Lag graphs'!$U$2:$U$6</c:f>
              <c:strCache>
                <c:ptCount val="5"/>
                <c:pt idx="0">
                  <c:v>Less than 1 year</c:v>
                </c:pt>
                <c:pt idx="1">
                  <c:v>1 to 2 years</c:v>
                </c:pt>
                <c:pt idx="2">
                  <c:v>2 to 3 years</c:v>
                </c:pt>
                <c:pt idx="3">
                  <c:v>3 to 5 years</c:v>
                </c:pt>
                <c:pt idx="4">
                  <c:v>More than 5 years</c:v>
                </c:pt>
              </c:strCache>
            </c:strRef>
          </c:cat>
          <c:val>
            <c:numRef>
              <c:f>'Lag graphs'!$V$2:$V$6</c:f>
              <c:numCache>
                <c:formatCode>General</c:formatCode>
                <c:ptCount val="5"/>
                <c:pt idx="0">
                  <c:v>3</c:v>
                </c:pt>
                <c:pt idx="1">
                  <c:v>10</c:v>
                </c:pt>
                <c:pt idx="2">
                  <c:v>0</c:v>
                </c:pt>
                <c:pt idx="3">
                  <c:v>1</c:v>
                </c:pt>
                <c:pt idx="4">
                  <c:v>0</c:v>
                </c:pt>
              </c:numCache>
            </c:numRef>
          </c:val>
          <c:extLst>
            <c:ext xmlns:c16="http://schemas.microsoft.com/office/drawing/2014/chart" uri="{C3380CC4-5D6E-409C-BE32-E72D297353CC}">
              <c16:uniqueId val="{00000000-A8B7-4A34-B774-F8708BE3C7F4}"/>
            </c:ext>
          </c:extLst>
        </c:ser>
        <c:ser>
          <c:idx val="1"/>
          <c:order val="1"/>
          <c:tx>
            <c:strRef>
              <c:f>'Lag graphs'!$W$1</c:f>
              <c:strCache>
                <c:ptCount val="1"/>
                <c:pt idx="0">
                  <c:v>No</c:v>
                </c:pt>
              </c:strCache>
            </c:strRef>
          </c:tx>
          <c:spPr>
            <a:solidFill>
              <a:schemeClr val="accent2"/>
            </a:solidFill>
            <a:ln>
              <a:noFill/>
            </a:ln>
            <a:effectLst/>
          </c:spPr>
          <c:invertIfNegative val="0"/>
          <c:cat>
            <c:strRef>
              <c:f>'Lag graphs'!$U$2:$U$6</c:f>
              <c:strCache>
                <c:ptCount val="5"/>
                <c:pt idx="0">
                  <c:v>Less than 1 year</c:v>
                </c:pt>
                <c:pt idx="1">
                  <c:v>1 to 2 years</c:v>
                </c:pt>
                <c:pt idx="2">
                  <c:v>2 to 3 years</c:v>
                </c:pt>
                <c:pt idx="3">
                  <c:v>3 to 5 years</c:v>
                </c:pt>
                <c:pt idx="4">
                  <c:v>More than 5 years</c:v>
                </c:pt>
              </c:strCache>
            </c:strRef>
          </c:cat>
          <c:val>
            <c:numRef>
              <c:f>'Lag graphs'!$W$2:$W$6</c:f>
              <c:numCache>
                <c:formatCode>General</c:formatCode>
                <c:ptCount val="5"/>
                <c:pt idx="0">
                  <c:v>4</c:v>
                </c:pt>
                <c:pt idx="1">
                  <c:v>9</c:v>
                </c:pt>
                <c:pt idx="2">
                  <c:v>1</c:v>
                </c:pt>
                <c:pt idx="3">
                  <c:v>0</c:v>
                </c:pt>
                <c:pt idx="4">
                  <c:v>0</c:v>
                </c:pt>
              </c:numCache>
            </c:numRef>
          </c:val>
          <c:extLst>
            <c:ext xmlns:c16="http://schemas.microsoft.com/office/drawing/2014/chart" uri="{C3380CC4-5D6E-409C-BE32-E72D297353CC}">
              <c16:uniqueId val="{00000001-A8B7-4A34-B774-F8708BE3C7F4}"/>
            </c:ext>
          </c:extLst>
        </c:ser>
        <c:ser>
          <c:idx val="2"/>
          <c:order val="2"/>
          <c:tx>
            <c:strRef>
              <c:f>'Lag graphs'!$X$1</c:f>
              <c:strCache>
                <c:ptCount val="1"/>
                <c:pt idx="0">
                  <c:v>n./a.</c:v>
                </c:pt>
              </c:strCache>
            </c:strRef>
          </c:tx>
          <c:spPr>
            <a:solidFill>
              <a:schemeClr val="accent3"/>
            </a:solidFill>
            <a:ln>
              <a:noFill/>
            </a:ln>
            <a:effectLst/>
          </c:spPr>
          <c:invertIfNegative val="0"/>
          <c:cat>
            <c:strRef>
              <c:f>'Lag graphs'!$U$2:$U$6</c:f>
              <c:strCache>
                <c:ptCount val="5"/>
                <c:pt idx="0">
                  <c:v>Less than 1 year</c:v>
                </c:pt>
                <c:pt idx="1">
                  <c:v>1 to 2 years</c:v>
                </c:pt>
                <c:pt idx="2">
                  <c:v>2 to 3 years</c:v>
                </c:pt>
                <c:pt idx="3">
                  <c:v>3 to 5 years</c:v>
                </c:pt>
                <c:pt idx="4">
                  <c:v>More than 5 years</c:v>
                </c:pt>
              </c:strCache>
            </c:strRef>
          </c:cat>
          <c:val>
            <c:numRef>
              <c:f>'Lag graphs'!$X$2:$X$6</c:f>
              <c:numCache>
                <c:formatCode>General</c:formatCode>
                <c:ptCount val="5"/>
                <c:pt idx="0">
                  <c:v>0</c:v>
                </c:pt>
                <c:pt idx="1">
                  <c:v>1</c:v>
                </c:pt>
                <c:pt idx="2">
                  <c:v>0</c:v>
                </c:pt>
                <c:pt idx="3">
                  <c:v>0</c:v>
                </c:pt>
                <c:pt idx="4">
                  <c:v>0</c:v>
                </c:pt>
              </c:numCache>
            </c:numRef>
          </c:val>
          <c:extLst>
            <c:ext xmlns:c16="http://schemas.microsoft.com/office/drawing/2014/chart" uri="{C3380CC4-5D6E-409C-BE32-E72D297353CC}">
              <c16:uniqueId val="{00000002-A8B7-4A34-B774-F8708BE3C7F4}"/>
            </c:ext>
          </c:extLst>
        </c:ser>
        <c:dLbls>
          <c:showLegendKey val="0"/>
          <c:showVal val="0"/>
          <c:showCatName val="0"/>
          <c:showSerName val="0"/>
          <c:showPercent val="0"/>
          <c:showBubbleSize val="0"/>
        </c:dLbls>
        <c:gapWidth val="219"/>
        <c:overlap val="-27"/>
        <c:axId val="2095091312"/>
        <c:axId val="2085634480"/>
      </c:barChart>
      <c:catAx>
        <c:axId val="209509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34480"/>
        <c:crosses val="autoZero"/>
        <c:auto val="1"/>
        <c:lblAlgn val="ctr"/>
        <c:lblOffset val="100"/>
        <c:noMultiLvlLbl val="0"/>
      </c:catAx>
      <c:valAx>
        <c:axId val="208563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091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Contact-Complaint</a:t>
            </a:r>
            <a:r>
              <a:rPr lang="en-US" baseline="0"/>
              <a:t> lag - by outcome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graphs'!$AC$1</c:f>
              <c:strCache>
                <c:ptCount val="1"/>
                <c:pt idx="0">
                  <c:v>Yes</c:v>
                </c:pt>
              </c:strCache>
            </c:strRef>
          </c:tx>
          <c:spPr>
            <a:solidFill>
              <a:schemeClr val="accent1"/>
            </a:solidFill>
            <a:ln>
              <a:noFill/>
            </a:ln>
            <a:effectLst/>
          </c:spPr>
          <c:invertIfNegative val="0"/>
          <c:cat>
            <c:strRef>
              <c:f>'Lag graphs'!$AB$2:$AB$6</c:f>
              <c:strCache>
                <c:ptCount val="5"/>
                <c:pt idx="0">
                  <c:v>Less than 1 year</c:v>
                </c:pt>
                <c:pt idx="1">
                  <c:v>1 to 2 years</c:v>
                </c:pt>
                <c:pt idx="2">
                  <c:v>2 to 3 years</c:v>
                </c:pt>
                <c:pt idx="3">
                  <c:v>3 to 5 years</c:v>
                </c:pt>
                <c:pt idx="4">
                  <c:v>More than 5 years</c:v>
                </c:pt>
              </c:strCache>
            </c:strRef>
          </c:cat>
          <c:val>
            <c:numRef>
              <c:f>'Lag graphs'!$AC$2:$AC$6</c:f>
              <c:numCache>
                <c:formatCode>General</c:formatCode>
                <c:ptCount val="5"/>
                <c:pt idx="0">
                  <c:v>1</c:v>
                </c:pt>
                <c:pt idx="1">
                  <c:v>4</c:v>
                </c:pt>
                <c:pt idx="2">
                  <c:v>1</c:v>
                </c:pt>
                <c:pt idx="3">
                  <c:v>1</c:v>
                </c:pt>
                <c:pt idx="4">
                  <c:v>4</c:v>
                </c:pt>
              </c:numCache>
            </c:numRef>
          </c:val>
          <c:extLst>
            <c:ext xmlns:c16="http://schemas.microsoft.com/office/drawing/2014/chart" uri="{C3380CC4-5D6E-409C-BE32-E72D297353CC}">
              <c16:uniqueId val="{00000000-9C82-4A13-A544-5BB0FAB33164}"/>
            </c:ext>
          </c:extLst>
        </c:ser>
        <c:ser>
          <c:idx val="1"/>
          <c:order val="1"/>
          <c:tx>
            <c:strRef>
              <c:f>'Lag graphs'!$AD$1</c:f>
              <c:strCache>
                <c:ptCount val="1"/>
                <c:pt idx="0">
                  <c:v>No</c:v>
                </c:pt>
              </c:strCache>
            </c:strRef>
          </c:tx>
          <c:spPr>
            <a:solidFill>
              <a:schemeClr val="accent2"/>
            </a:solidFill>
            <a:ln>
              <a:noFill/>
            </a:ln>
            <a:effectLst/>
          </c:spPr>
          <c:invertIfNegative val="0"/>
          <c:cat>
            <c:strRef>
              <c:f>'Lag graphs'!$AB$2:$AB$6</c:f>
              <c:strCache>
                <c:ptCount val="5"/>
                <c:pt idx="0">
                  <c:v>Less than 1 year</c:v>
                </c:pt>
                <c:pt idx="1">
                  <c:v>1 to 2 years</c:v>
                </c:pt>
                <c:pt idx="2">
                  <c:v>2 to 3 years</c:v>
                </c:pt>
                <c:pt idx="3">
                  <c:v>3 to 5 years</c:v>
                </c:pt>
                <c:pt idx="4">
                  <c:v>More than 5 years</c:v>
                </c:pt>
              </c:strCache>
            </c:strRef>
          </c:cat>
          <c:val>
            <c:numRef>
              <c:f>'Lag graphs'!$AD$2:$AD$6</c:f>
              <c:numCache>
                <c:formatCode>General</c:formatCode>
                <c:ptCount val="5"/>
                <c:pt idx="0">
                  <c:v>0</c:v>
                </c:pt>
                <c:pt idx="1">
                  <c:v>6</c:v>
                </c:pt>
                <c:pt idx="2">
                  <c:v>2</c:v>
                </c:pt>
                <c:pt idx="3">
                  <c:v>4</c:v>
                </c:pt>
                <c:pt idx="4">
                  <c:v>1</c:v>
                </c:pt>
              </c:numCache>
            </c:numRef>
          </c:val>
          <c:extLst>
            <c:ext xmlns:c16="http://schemas.microsoft.com/office/drawing/2014/chart" uri="{C3380CC4-5D6E-409C-BE32-E72D297353CC}">
              <c16:uniqueId val="{00000001-9C82-4A13-A544-5BB0FAB33164}"/>
            </c:ext>
          </c:extLst>
        </c:ser>
        <c:ser>
          <c:idx val="2"/>
          <c:order val="2"/>
          <c:tx>
            <c:strRef>
              <c:f>'Lag graphs'!$AE$1</c:f>
              <c:strCache>
                <c:ptCount val="1"/>
                <c:pt idx="0">
                  <c:v>n./a.</c:v>
                </c:pt>
              </c:strCache>
            </c:strRef>
          </c:tx>
          <c:spPr>
            <a:solidFill>
              <a:schemeClr val="accent3"/>
            </a:solidFill>
            <a:ln>
              <a:noFill/>
            </a:ln>
            <a:effectLst/>
          </c:spPr>
          <c:invertIfNegative val="0"/>
          <c:cat>
            <c:strRef>
              <c:f>'Lag graphs'!$AB$2:$AB$6</c:f>
              <c:strCache>
                <c:ptCount val="5"/>
                <c:pt idx="0">
                  <c:v>Less than 1 year</c:v>
                </c:pt>
                <c:pt idx="1">
                  <c:v>1 to 2 years</c:v>
                </c:pt>
                <c:pt idx="2">
                  <c:v>2 to 3 years</c:v>
                </c:pt>
                <c:pt idx="3">
                  <c:v>3 to 5 years</c:v>
                </c:pt>
                <c:pt idx="4">
                  <c:v>More than 5 years</c:v>
                </c:pt>
              </c:strCache>
            </c:strRef>
          </c:cat>
          <c:val>
            <c:numRef>
              <c:f>'Lag graphs'!$AE$2:$AE$6</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2-9C82-4A13-A544-5BB0FAB33164}"/>
            </c:ext>
          </c:extLst>
        </c:ser>
        <c:dLbls>
          <c:showLegendKey val="0"/>
          <c:showVal val="0"/>
          <c:showCatName val="0"/>
          <c:showSerName val="0"/>
          <c:showPercent val="0"/>
          <c:showBubbleSize val="0"/>
        </c:dLbls>
        <c:gapWidth val="219"/>
        <c:overlap val="-27"/>
        <c:axId val="1734658080"/>
        <c:axId val="1505482320"/>
      </c:barChart>
      <c:catAx>
        <c:axId val="173465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82320"/>
        <c:crosses val="autoZero"/>
        <c:auto val="1"/>
        <c:lblAlgn val="ctr"/>
        <c:lblOffset val="100"/>
        <c:noMultiLvlLbl val="0"/>
      </c:catAx>
      <c:valAx>
        <c:axId val="150548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5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Offer-Complaint</a:t>
            </a:r>
            <a:r>
              <a:rPr lang="en-US" baseline="0"/>
              <a:t>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graphs'!$AJ$1</c:f>
              <c:strCache>
                <c:ptCount val="1"/>
                <c:pt idx="0">
                  <c:v>Yes</c:v>
                </c:pt>
              </c:strCache>
            </c:strRef>
          </c:tx>
          <c:spPr>
            <a:solidFill>
              <a:schemeClr val="accent1"/>
            </a:solidFill>
            <a:ln>
              <a:noFill/>
            </a:ln>
            <a:effectLst/>
          </c:spPr>
          <c:invertIfNegative val="0"/>
          <c:cat>
            <c:strRef>
              <c:f>'Lag graphs'!$AI$2:$AI$6</c:f>
              <c:strCache>
                <c:ptCount val="5"/>
                <c:pt idx="0">
                  <c:v>Less than 1 year</c:v>
                </c:pt>
                <c:pt idx="1">
                  <c:v>1 to 2 years</c:v>
                </c:pt>
                <c:pt idx="2">
                  <c:v>2 to 3 years</c:v>
                </c:pt>
                <c:pt idx="3">
                  <c:v>3 to 5 years</c:v>
                </c:pt>
                <c:pt idx="4">
                  <c:v>More than 5 years</c:v>
                </c:pt>
              </c:strCache>
            </c:strRef>
          </c:cat>
          <c:val>
            <c:numRef>
              <c:f>'Lag graphs'!$AJ$2:$AJ$6</c:f>
              <c:numCache>
                <c:formatCode>General</c:formatCode>
                <c:ptCount val="5"/>
                <c:pt idx="0">
                  <c:v>6</c:v>
                </c:pt>
                <c:pt idx="1">
                  <c:v>1</c:v>
                </c:pt>
                <c:pt idx="2">
                  <c:v>2</c:v>
                </c:pt>
                <c:pt idx="3">
                  <c:v>0</c:v>
                </c:pt>
                <c:pt idx="4">
                  <c:v>4</c:v>
                </c:pt>
              </c:numCache>
            </c:numRef>
          </c:val>
          <c:extLst>
            <c:ext xmlns:c16="http://schemas.microsoft.com/office/drawing/2014/chart" uri="{C3380CC4-5D6E-409C-BE32-E72D297353CC}">
              <c16:uniqueId val="{00000000-C206-4CB2-9F59-DCD1A4B5D67A}"/>
            </c:ext>
          </c:extLst>
        </c:ser>
        <c:ser>
          <c:idx val="1"/>
          <c:order val="1"/>
          <c:tx>
            <c:strRef>
              <c:f>'Lag graphs'!$AK$1</c:f>
              <c:strCache>
                <c:ptCount val="1"/>
                <c:pt idx="0">
                  <c:v>No</c:v>
                </c:pt>
              </c:strCache>
            </c:strRef>
          </c:tx>
          <c:spPr>
            <a:solidFill>
              <a:schemeClr val="accent2"/>
            </a:solidFill>
            <a:ln>
              <a:noFill/>
            </a:ln>
            <a:effectLst/>
          </c:spPr>
          <c:invertIfNegative val="0"/>
          <c:cat>
            <c:strRef>
              <c:f>'Lag graphs'!$AI$2:$AI$6</c:f>
              <c:strCache>
                <c:ptCount val="5"/>
                <c:pt idx="0">
                  <c:v>Less than 1 year</c:v>
                </c:pt>
                <c:pt idx="1">
                  <c:v>1 to 2 years</c:v>
                </c:pt>
                <c:pt idx="2">
                  <c:v>2 to 3 years</c:v>
                </c:pt>
                <c:pt idx="3">
                  <c:v>3 to 5 years</c:v>
                </c:pt>
                <c:pt idx="4">
                  <c:v>More than 5 years</c:v>
                </c:pt>
              </c:strCache>
            </c:strRef>
          </c:cat>
          <c:val>
            <c:numRef>
              <c:f>'Lag graphs'!$AK$2:$AK$6</c:f>
              <c:numCache>
                <c:formatCode>General</c:formatCode>
                <c:ptCount val="5"/>
                <c:pt idx="0">
                  <c:v>3</c:v>
                </c:pt>
                <c:pt idx="1">
                  <c:v>5</c:v>
                </c:pt>
                <c:pt idx="2">
                  <c:v>2</c:v>
                </c:pt>
                <c:pt idx="3">
                  <c:v>3</c:v>
                </c:pt>
                <c:pt idx="4">
                  <c:v>0</c:v>
                </c:pt>
              </c:numCache>
            </c:numRef>
          </c:val>
          <c:extLst>
            <c:ext xmlns:c16="http://schemas.microsoft.com/office/drawing/2014/chart" uri="{C3380CC4-5D6E-409C-BE32-E72D297353CC}">
              <c16:uniqueId val="{00000001-C206-4CB2-9F59-DCD1A4B5D67A}"/>
            </c:ext>
          </c:extLst>
        </c:ser>
        <c:ser>
          <c:idx val="2"/>
          <c:order val="2"/>
          <c:tx>
            <c:strRef>
              <c:f>'Lag graphs'!$AL$1</c:f>
              <c:strCache>
                <c:ptCount val="1"/>
                <c:pt idx="0">
                  <c:v>n./a.</c:v>
                </c:pt>
              </c:strCache>
            </c:strRef>
          </c:tx>
          <c:spPr>
            <a:solidFill>
              <a:schemeClr val="accent3"/>
            </a:solidFill>
            <a:ln>
              <a:noFill/>
            </a:ln>
            <a:effectLst/>
          </c:spPr>
          <c:invertIfNegative val="0"/>
          <c:cat>
            <c:strRef>
              <c:f>'Lag graphs'!$AI$2:$AI$6</c:f>
              <c:strCache>
                <c:ptCount val="5"/>
                <c:pt idx="0">
                  <c:v>Less than 1 year</c:v>
                </c:pt>
                <c:pt idx="1">
                  <c:v>1 to 2 years</c:v>
                </c:pt>
                <c:pt idx="2">
                  <c:v>2 to 3 years</c:v>
                </c:pt>
                <c:pt idx="3">
                  <c:v>3 to 5 years</c:v>
                </c:pt>
                <c:pt idx="4">
                  <c:v>More than 5 years</c:v>
                </c:pt>
              </c:strCache>
            </c:strRef>
          </c:cat>
          <c:val>
            <c:numRef>
              <c:f>'Lag graphs'!$AL$2:$AL$6</c:f>
              <c:numCache>
                <c:formatCode>General</c:formatCode>
                <c:ptCount val="5"/>
                <c:pt idx="0">
                  <c:v>0</c:v>
                </c:pt>
                <c:pt idx="1">
                  <c:v>0</c:v>
                </c:pt>
                <c:pt idx="2">
                  <c:v>1</c:v>
                </c:pt>
                <c:pt idx="3">
                  <c:v>0</c:v>
                </c:pt>
                <c:pt idx="4">
                  <c:v>0</c:v>
                </c:pt>
              </c:numCache>
            </c:numRef>
          </c:val>
          <c:extLst>
            <c:ext xmlns:c16="http://schemas.microsoft.com/office/drawing/2014/chart" uri="{C3380CC4-5D6E-409C-BE32-E72D297353CC}">
              <c16:uniqueId val="{00000002-C206-4CB2-9F59-DCD1A4B5D67A}"/>
            </c:ext>
          </c:extLst>
        </c:ser>
        <c:dLbls>
          <c:showLegendKey val="0"/>
          <c:showVal val="0"/>
          <c:showCatName val="0"/>
          <c:showSerName val="0"/>
          <c:showPercent val="0"/>
          <c:showBubbleSize val="0"/>
        </c:dLbls>
        <c:gapWidth val="219"/>
        <c:overlap val="-27"/>
        <c:axId val="1330392480"/>
        <c:axId val="1505471904"/>
      </c:barChart>
      <c:catAx>
        <c:axId val="133039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71904"/>
        <c:crosses val="autoZero"/>
        <c:auto val="1"/>
        <c:lblAlgn val="ctr"/>
        <c:lblOffset val="100"/>
        <c:noMultiLvlLbl val="0"/>
      </c:catAx>
      <c:valAx>
        <c:axId val="150547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9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Contact-Complaint</a:t>
            </a:r>
            <a:r>
              <a:rPr lang="en-US" baseline="0"/>
              <a:t> lag - by outcome (for worldwide portfolios)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graphs'!$AC$26</c:f>
              <c:strCache>
                <c:ptCount val="1"/>
                <c:pt idx="0">
                  <c:v>Yes</c:v>
                </c:pt>
              </c:strCache>
            </c:strRef>
          </c:tx>
          <c:spPr>
            <a:solidFill>
              <a:schemeClr val="accent1"/>
            </a:solidFill>
            <a:ln>
              <a:noFill/>
            </a:ln>
            <a:effectLst/>
          </c:spPr>
          <c:invertIfNegative val="0"/>
          <c:cat>
            <c:strRef>
              <c:f>'Lag graphs'!$AB$27:$AB$31</c:f>
              <c:strCache>
                <c:ptCount val="5"/>
                <c:pt idx="0">
                  <c:v>Less than 1 year</c:v>
                </c:pt>
                <c:pt idx="1">
                  <c:v>1 to 2 years</c:v>
                </c:pt>
                <c:pt idx="2">
                  <c:v>2 to 3 years</c:v>
                </c:pt>
                <c:pt idx="3">
                  <c:v>3 to 5 years</c:v>
                </c:pt>
                <c:pt idx="4">
                  <c:v>More than 5 years</c:v>
                </c:pt>
              </c:strCache>
            </c:strRef>
          </c:cat>
          <c:val>
            <c:numRef>
              <c:f>'Lag graphs'!$AC$27:$AC$31</c:f>
              <c:numCache>
                <c:formatCode>General</c:formatCode>
                <c:ptCount val="5"/>
                <c:pt idx="0">
                  <c:v>0</c:v>
                </c:pt>
                <c:pt idx="1">
                  <c:v>4</c:v>
                </c:pt>
                <c:pt idx="2">
                  <c:v>1</c:v>
                </c:pt>
                <c:pt idx="3">
                  <c:v>1</c:v>
                </c:pt>
                <c:pt idx="4">
                  <c:v>4</c:v>
                </c:pt>
              </c:numCache>
            </c:numRef>
          </c:val>
          <c:extLst>
            <c:ext xmlns:c16="http://schemas.microsoft.com/office/drawing/2014/chart" uri="{C3380CC4-5D6E-409C-BE32-E72D297353CC}">
              <c16:uniqueId val="{00000000-59B9-4DB6-A240-64206113122E}"/>
            </c:ext>
          </c:extLst>
        </c:ser>
        <c:ser>
          <c:idx val="1"/>
          <c:order val="1"/>
          <c:tx>
            <c:strRef>
              <c:f>'Lag graphs'!$AD$26</c:f>
              <c:strCache>
                <c:ptCount val="1"/>
                <c:pt idx="0">
                  <c:v>No</c:v>
                </c:pt>
              </c:strCache>
            </c:strRef>
          </c:tx>
          <c:spPr>
            <a:solidFill>
              <a:schemeClr val="accent2"/>
            </a:solidFill>
            <a:ln>
              <a:noFill/>
            </a:ln>
            <a:effectLst/>
          </c:spPr>
          <c:invertIfNegative val="0"/>
          <c:cat>
            <c:strRef>
              <c:f>'Lag graphs'!$AB$27:$AB$31</c:f>
              <c:strCache>
                <c:ptCount val="5"/>
                <c:pt idx="0">
                  <c:v>Less than 1 year</c:v>
                </c:pt>
                <c:pt idx="1">
                  <c:v>1 to 2 years</c:v>
                </c:pt>
                <c:pt idx="2">
                  <c:v>2 to 3 years</c:v>
                </c:pt>
                <c:pt idx="3">
                  <c:v>3 to 5 years</c:v>
                </c:pt>
                <c:pt idx="4">
                  <c:v>More than 5 years</c:v>
                </c:pt>
              </c:strCache>
            </c:strRef>
          </c:cat>
          <c:val>
            <c:numRef>
              <c:f>'Lag graphs'!$AD$27:$AD$31</c:f>
              <c:numCache>
                <c:formatCode>General</c:formatCode>
                <c:ptCount val="5"/>
                <c:pt idx="0">
                  <c:v>0</c:v>
                </c:pt>
                <c:pt idx="1">
                  <c:v>3</c:v>
                </c:pt>
                <c:pt idx="2">
                  <c:v>1</c:v>
                </c:pt>
                <c:pt idx="3">
                  <c:v>4</c:v>
                </c:pt>
                <c:pt idx="4">
                  <c:v>1</c:v>
                </c:pt>
              </c:numCache>
            </c:numRef>
          </c:val>
          <c:extLst>
            <c:ext xmlns:c16="http://schemas.microsoft.com/office/drawing/2014/chart" uri="{C3380CC4-5D6E-409C-BE32-E72D297353CC}">
              <c16:uniqueId val="{00000001-59B9-4DB6-A240-64206113122E}"/>
            </c:ext>
          </c:extLst>
        </c:ser>
        <c:ser>
          <c:idx val="2"/>
          <c:order val="2"/>
          <c:tx>
            <c:strRef>
              <c:f>'Lag graphs'!$AE$26</c:f>
              <c:strCache>
                <c:ptCount val="1"/>
                <c:pt idx="0">
                  <c:v>n./a.</c:v>
                </c:pt>
              </c:strCache>
            </c:strRef>
          </c:tx>
          <c:spPr>
            <a:solidFill>
              <a:schemeClr val="accent3"/>
            </a:solidFill>
            <a:ln>
              <a:noFill/>
            </a:ln>
            <a:effectLst/>
          </c:spPr>
          <c:invertIfNegative val="0"/>
          <c:cat>
            <c:strRef>
              <c:f>'Lag graphs'!$AB$27:$AB$31</c:f>
              <c:strCache>
                <c:ptCount val="5"/>
                <c:pt idx="0">
                  <c:v>Less than 1 year</c:v>
                </c:pt>
                <c:pt idx="1">
                  <c:v>1 to 2 years</c:v>
                </c:pt>
                <c:pt idx="2">
                  <c:v>2 to 3 years</c:v>
                </c:pt>
                <c:pt idx="3">
                  <c:v>3 to 5 years</c:v>
                </c:pt>
                <c:pt idx="4">
                  <c:v>More than 5 years</c:v>
                </c:pt>
              </c:strCache>
            </c:strRef>
          </c:cat>
          <c:val>
            <c:numRef>
              <c:f>'Lag graphs'!$AE$27:$AE$32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59B9-4DB6-A240-64206113122E}"/>
            </c:ext>
          </c:extLst>
        </c:ser>
        <c:dLbls>
          <c:showLegendKey val="0"/>
          <c:showVal val="0"/>
          <c:showCatName val="0"/>
          <c:showSerName val="0"/>
          <c:showPercent val="0"/>
          <c:showBubbleSize val="0"/>
        </c:dLbls>
        <c:gapWidth val="219"/>
        <c:overlap val="-27"/>
        <c:axId val="1734658080"/>
        <c:axId val="1505482320"/>
      </c:barChart>
      <c:catAx>
        <c:axId val="173465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82320"/>
        <c:crosses val="autoZero"/>
        <c:auto val="1"/>
        <c:lblAlgn val="ctr"/>
        <c:lblOffset val="100"/>
        <c:noMultiLvlLbl val="0"/>
      </c:catAx>
      <c:valAx>
        <c:axId val="150548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5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Contact-Complaint</a:t>
            </a:r>
            <a:r>
              <a:rPr lang="en-US" baseline="0"/>
              <a:t> lag - by outcome (for pool portfolios/members)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'Lag graphs'!$AC$53</c:f>
              <c:strCache>
                <c:ptCount val="1"/>
                <c:pt idx="0">
                  <c:v>Yes</c:v>
                </c:pt>
              </c:strCache>
            </c:strRef>
          </c:tx>
          <c:spPr>
            <a:solidFill>
              <a:schemeClr val="accent1"/>
            </a:solidFill>
            <a:ln>
              <a:noFill/>
            </a:ln>
            <a:effectLst/>
          </c:spPr>
          <c:invertIfNegative val="0"/>
          <c:cat>
            <c:strRef>
              <c:f>'Lag graphs'!$AB$27:$AB$31</c:f>
              <c:strCache>
                <c:ptCount val="5"/>
                <c:pt idx="0">
                  <c:v>Less than 1 year</c:v>
                </c:pt>
                <c:pt idx="1">
                  <c:v>1 to 2 years</c:v>
                </c:pt>
                <c:pt idx="2">
                  <c:v>2 to 3 years</c:v>
                </c:pt>
                <c:pt idx="3">
                  <c:v>3 to 5 years</c:v>
                </c:pt>
                <c:pt idx="4">
                  <c:v>More than 5 years</c:v>
                </c:pt>
              </c:strCache>
            </c:strRef>
          </c:cat>
          <c:val>
            <c:numRef>
              <c:f>'Lag graphs'!$AC$54:$AC$58</c:f>
              <c:numCache>
                <c:formatCode>General</c:formatCode>
                <c:ptCount val="5"/>
                <c:pt idx="0">
                  <c:v>0</c:v>
                </c:pt>
                <c:pt idx="1">
                  <c:v>1</c:v>
                </c:pt>
                <c:pt idx="2">
                  <c:v>1</c:v>
                </c:pt>
                <c:pt idx="3">
                  <c:v>1</c:v>
                </c:pt>
                <c:pt idx="4">
                  <c:v>4</c:v>
                </c:pt>
              </c:numCache>
            </c:numRef>
          </c:val>
          <c:extLst>
            <c:ext xmlns:c16="http://schemas.microsoft.com/office/drawing/2014/chart" uri="{C3380CC4-5D6E-409C-BE32-E72D297353CC}">
              <c16:uniqueId val="{00000000-C00B-4C62-ADF3-CC1133D02D89}"/>
            </c:ext>
          </c:extLst>
        </c:ser>
        <c:ser>
          <c:idx val="1"/>
          <c:order val="1"/>
          <c:tx>
            <c:strRef>
              <c:f>'Lag graphs'!$AD$53</c:f>
              <c:strCache>
                <c:ptCount val="1"/>
                <c:pt idx="0">
                  <c:v>No</c:v>
                </c:pt>
              </c:strCache>
            </c:strRef>
          </c:tx>
          <c:spPr>
            <a:solidFill>
              <a:schemeClr val="accent2"/>
            </a:solidFill>
            <a:ln>
              <a:noFill/>
            </a:ln>
            <a:effectLst/>
          </c:spPr>
          <c:invertIfNegative val="0"/>
          <c:cat>
            <c:strRef>
              <c:f>'Lag graphs'!$AB$27:$AB$31</c:f>
              <c:strCache>
                <c:ptCount val="5"/>
                <c:pt idx="0">
                  <c:v>Less than 1 year</c:v>
                </c:pt>
                <c:pt idx="1">
                  <c:v>1 to 2 years</c:v>
                </c:pt>
                <c:pt idx="2">
                  <c:v>2 to 3 years</c:v>
                </c:pt>
                <c:pt idx="3">
                  <c:v>3 to 5 years</c:v>
                </c:pt>
                <c:pt idx="4">
                  <c:v>More than 5 years</c:v>
                </c:pt>
              </c:strCache>
            </c:strRef>
          </c:cat>
          <c:val>
            <c:numRef>
              <c:f>'Lag graphs'!$AD$54:$AD$58</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C00B-4C62-ADF3-CC1133D02D89}"/>
            </c:ext>
          </c:extLst>
        </c:ser>
        <c:ser>
          <c:idx val="2"/>
          <c:order val="2"/>
          <c:tx>
            <c:strRef>
              <c:f>'Lag graphs'!$AE$53</c:f>
              <c:strCache>
                <c:ptCount val="1"/>
                <c:pt idx="0">
                  <c:v>n./a.</c:v>
                </c:pt>
              </c:strCache>
            </c:strRef>
          </c:tx>
          <c:spPr>
            <a:solidFill>
              <a:schemeClr val="accent3"/>
            </a:solidFill>
            <a:ln>
              <a:noFill/>
            </a:ln>
            <a:effectLst/>
          </c:spPr>
          <c:invertIfNegative val="0"/>
          <c:cat>
            <c:strRef>
              <c:f>'Lag graphs'!$AB$27:$AB$31</c:f>
              <c:strCache>
                <c:ptCount val="5"/>
                <c:pt idx="0">
                  <c:v>Less than 1 year</c:v>
                </c:pt>
                <c:pt idx="1">
                  <c:v>1 to 2 years</c:v>
                </c:pt>
                <c:pt idx="2">
                  <c:v>2 to 3 years</c:v>
                </c:pt>
                <c:pt idx="3">
                  <c:v>3 to 5 years</c:v>
                </c:pt>
                <c:pt idx="4">
                  <c:v>More than 5 years</c:v>
                </c:pt>
              </c:strCache>
            </c:strRef>
          </c:cat>
          <c:val>
            <c:numRef>
              <c:f>'Lag graphs'!$AE$54:$AE$58</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2-C00B-4C62-ADF3-CC1133D02D89}"/>
            </c:ext>
          </c:extLst>
        </c:ser>
        <c:dLbls>
          <c:showLegendKey val="0"/>
          <c:showVal val="0"/>
          <c:showCatName val="0"/>
          <c:showSerName val="0"/>
          <c:showPercent val="0"/>
          <c:showBubbleSize val="0"/>
        </c:dLbls>
        <c:gapWidth val="219"/>
        <c:overlap val="-27"/>
        <c:axId val="1734658080"/>
        <c:axId val="1505482320"/>
      </c:barChart>
      <c:catAx>
        <c:axId val="173465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82320"/>
        <c:crosses val="autoZero"/>
        <c:auto val="1"/>
        <c:lblAlgn val="ctr"/>
        <c:lblOffset val="100"/>
        <c:noMultiLvlLbl val="0"/>
      </c:catAx>
      <c:valAx>
        <c:axId val="150548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658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Patent validity proceedings duration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graphs'!$T$1</c:f>
              <c:strCache>
                <c:ptCount val="1"/>
                <c:pt idx="0">
                  <c:v>Invalid for Germany</c:v>
                </c:pt>
              </c:strCache>
            </c:strRef>
          </c:tx>
          <c:spPr>
            <a:solidFill>
              <a:schemeClr val="accent1"/>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graphs'!$T$2:$T$6</c:f>
              <c:numCache>
                <c:formatCode>General</c:formatCode>
                <c:ptCount val="5"/>
                <c:pt idx="0">
                  <c:v>1</c:v>
                </c:pt>
                <c:pt idx="1">
                  <c:v>1</c:v>
                </c:pt>
                <c:pt idx="2">
                  <c:v>7</c:v>
                </c:pt>
                <c:pt idx="3">
                  <c:v>3</c:v>
                </c:pt>
                <c:pt idx="4">
                  <c:v>0</c:v>
                </c:pt>
              </c:numCache>
            </c:numRef>
          </c:val>
          <c:extLst>
            <c:ext xmlns:c16="http://schemas.microsoft.com/office/drawing/2014/chart" uri="{C3380CC4-5D6E-409C-BE32-E72D297353CC}">
              <c16:uniqueId val="{00000000-CC57-4E3C-80C9-3BCD9A8500D8}"/>
            </c:ext>
          </c:extLst>
        </c:ser>
        <c:ser>
          <c:idx val="1"/>
          <c:order val="1"/>
          <c:tx>
            <c:strRef>
              <c:f>'Patent validity graphs'!$U$1</c:f>
              <c:strCache>
                <c:ptCount val="1"/>
                <c:pt idx="0">
                  <c:v>Partially invalid for Germany</c:v>
                </c:pt>
              </c:strCache>
            </c:strRef>
          </c:tx>
          <c:spPr>
            <a:solidFill>
              <a:schemeClr val="accent2"/>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graphs'!$U$2:$U$6</c:f>
              <c:numCache>
                <c:formatCode>General</c:formatCode>
                <c:ptCount val="5"/>
                <c:pt idx="0">
                  <c:v>0</c:v>
                </c:pt>
                <c:pt idx="1">
                  <c:v>1</c:v>
                </c:pt>
                <c:pt idx="2">
                  <c:v>5</c:v>
                </c:pt>
                <c:pt idx="3">
                  <c:v>6</c:v>
                </c:pt>
                <c:pt idx="4">
                  <c:v>0</c:v>
                </c:pt>
              </c:numCache>
            </c:numRef>
          </c:val>
          <c:extLst>
            <c:ext xmlns:c16="http://schemas.microsoft.com/office/drawing/2014/chart" uri="{C3380CC4-5D6E-409C-BE32-E72D297353CC}">
              <c16:uniqueId val="{00000001-CC57-4E3C-80C9-3BCD9A8500D8}"/>
            </c:ext>
          </c:extLst>
        </c:ser>
        <c:ser>
          <c:idx val="2"/>
          <c:order val="2"/>
          <c:tx>
            <c:strRef>
              <c:f>'Patent validity graphs'!$W$1</c:f>
              <c:strCache>
                <c:ptCount val="1"/>
                <c:pt idx="0">
                  <c:v>Charges dismissed</c:v>
                </c:pt>
              </c:strCache>
            </c:strRef>
          </c:tx>
          <c:spPr>
            <a:solidFill>
              <a:schemeClr val="accent3"/>
            </a:solidFill>
            <a:ln>
              <a:noFill/>
            </a:ln>
            <a:effectLst/>
          </c:spPr>
          <c:invertIfNegative val="0"/>
          <c:cat>
            <c:strRef>
              <c:f>'Patent validity graphs'!$S$2:$S$6</c:f>
              <c:strCache>
                <c:ptCount val="5"/>
                <c:pt idx="0">
                  <c:v>Less than 1 year</c:v>
                </c:pt>
                <c:pt idx="1">
                  <c:v>1 to 2 years</c:v>
                </c:pt>
                <c:pt idx="2">
                  <c:v>2 to 3 years</c:v>
                </c:pt>
                <c:pt idx="3">
                  <c:v>3 to 5 years</c:v>
                </c:pt>
                <c:pt idx="4">
                  <c:v>More than 5 years</c:v>
                </c:pt>
              </c:strCache>
            </c:strRef>
          </c:cat>
          <c:val>
            <c:numRef>
              <c:f>'Patent validity graphs'!$W$2:$W$6</c:f>
              <c:numCache>
                <c:formatCode>General</c:formatCode>
                <c:ptCount val="5"/>
                <c:pt idx="0">
                  <c:v>1</c:v>
                </c:pt>
                <c:pt idx="1">
                  <c:v>1</c:v>
                </c:pt>
                <c:pt idx="2">
                  <c:v>0</c:v>
                </c:pt>
                <c:pt idx="3">
                  <c:v>0</c:v>
                </c:pt>
                <c:pt idx="4">
                  <c:v>0</c:v>
                </c:pt>
              </c:numCache>
            </c:numRef>
          </c:val>
          <c:extLst>
            <c:ext xmlns:c16="http://schemas.microsoft.com/office/drawing/2014/chart" uri="{C3380CC4-5D6E-409C-BE32-E72D297353CC}">
              <c16:uniqueId val="{00000002-CC57-4E3C-80C9-3BCD9A8500D8}"/>
            </c:ext>
          </c:extLst>
        </c:ser>
        <c:ser>
          <c:idx val="3"/>
          <c:order val="3"/>
          <c:tx>
            <c:strRef>
              <c:f>'Patent validity graphs'!$V$1</c:f>
              <c:strCache>
                <c:ptCount val="1"/>
                <c:pt idx="0">
                  <c:v>Fully revoked</c:v>
                </c:pt>
              </c:strCache>
            </c:strRef>
          </c:tx>
          <c:spPr>
            <a:solidFill>
              <a:schemeClr val="accent4"/>
            </a:solidFill>
            <a:ln>
              <a:noFill/>
            </a:ln>
            <a:effectLst/>
          </c:spPr>
          <c:invertIfNegative val="0"/>
          <c:val>
            <c:numRef>
              <c:f>'Patent validity graphs'!$V$2:$V$6</c:f>
              <c:numCache>
                <c:formatCode>General</c:formatCode>
                <c:ptCount val="5"/>
                <c:pt idx="0">
                  <c:v>0</c:v>
                </c:pt>
                <c:pt idx="1">
                  <c:v>0</c:v>
                </c:pt>
                <c:pt idx="2">
                  <c:v>1</c:v>
                </c:pt>
                <c:pt idx="3">
                  <c:v>0</c:v>
                </c:pt>
                <c:pt idx="4">
                  <c:v>0</c:v>
                </c:pt>
              </c:numCache>
            </c:numRef>
          </c:val>
          <c:extLst>
            <c:ext xmlns:c16="http://schemas.microsoft.com/office/drawing/2014/chart" uri="{C3380CC4-5D6E-409C-BE32-E72D297353CC}">
              <c16:uniqueId val="{00000000-7719-4D8B-ABC0-F2F28FE503FF}"/>
            </c:ext>
          </c:extLst>
        </c:ser>
        <c:dLbls>
          <c:showLegendKey val="0"/>
          <c:showVal val="0"/>
          <c:showCatName val="0"/>
          <c:showSerName val="0"/>
          <c:showPercent val="0"/>
          <c:showBubbleSize val="0"/>
        </c:dLbls>
        <c:gapWidth val="219"/>
        <c:overlap val="-27"/>
        <c:axId val="1664745616"/>
        <c:axId val="1505478848"/>
      </c:barChart>
      <c:catAx>
        <c:axId val="16647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78848"/>
        <c:crosses val="autoZero"/>
        <c:auto val="1"/>
        <c:lblAlgn val="ctr"/>
        <c:lblOffset val="100"/>
        <c:noMultiLvlLbl val="0"/>
      </c:catAx>
      <c:valAx>
        <c:axId val="150547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745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Patent Validity Proceedings?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'Patent validity graphs'!$T$27</c:f>
              <c:strCache>
                <c:ptCount val="1"/>
                <c:pt idx="0">
                  <c:v>Yes</c:v>
                </c:pt>
              </c:strCache>
            </c:strRef>
          </c:tx>
          <c:spPr>
            <a:solidFill>
              <a:schemeClr val="accent1"/>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graphs'!$T$28:$T$30</c:f>
              <c:numCache>
                <c:formatCode>General</c:formatCode>
                <c:ptCount val="3"/>
                <c:pt idx="0">
                  <c:v>25</c:v>
                </c:pt>
                <c:pt idx="1">
                  <c:v>16</c:v>
                </c:pt>
                <c:pt idx="2">
                  <c:v>1</c:v>
                </c:pt>
              </c:numCache>
            </c:numRef>
          </c:val>
          <c:extLst>
            <c:ext xmlns:c16="http://schemas.microsoft.com/office/drawing/2014/chart" uri="{C3380CC4-5D6E-409C-BE32-E72D297353CC}">
              <c16:uniqueId val="{00000000-58B3-4377-8AA4-EB050107DBAC}"/>
            </c:ext>
          </c:extLst>
        </c:ser>
        <c:ser>
          <c:idx val="1"/>
          <c:order val="1"/>
          <c:tx>
            <c:strRef>
              <c:f>'Patent validity graphs'!$U$27</c:f>
              <c:strCache>
                <c:ptCount val="1"/>
                <c:pt idx="0">
                  <c:v>No</c:v>
                </c:pt>
              </c:strCache>
            </c:strRef>
          </c:tx>
          <c:spPr>
            <a:solidFill>
              <a:schemeClr val="accent2"/>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graphs'!$U$28:$U$30</c:f>
              <c:numCache>
                <c:formatCode>General</c:formatCode>
                <c:ptCount val="3"/>
                <c:pt idx="0">
                  <c:v>1</c:v>
                </c:pt>
                <c:pt idx="1">
                  <c:v>0</c:v>
                </c:pt>
                <c:pt idx="2">
                  <c:v>0</c:v>
                </c:pt>
              </c:numCache>
            </c:numRef>
          </c:val>
          <c:extLst>
            <c:ext xmlns:c16="http://schemas.microsoft.com/office/drawing/2014/chart" uri="{C3380CC4-5D6E-409C-BE32-E72D297353CC}">
              <c16:uniqueId val="{00000001-58B3-4377-8AA4-EB050107DBAC}"/>
            </c:ext>
          </c:extLst>
        </c:ser>
        <c:ser>
          <c:idx val="2"/>
          <c:order val="2"/>
          <c:tx>
            <c:strRef>
              <c:f>'Patent validity graphs'!$W$27</c:f>
              <c:strCache>
                <c:ptCount val="1"/>
                <c:pt idx="0">
                  <c:v>?</c:v>
                </c:pt>
              </c:strCache>
            </c:strRef>
          </c:tx>
          <c:spPr>
            <a:solidFill>
              <a:schemeClr val="accent3"/>
            </a:solidFill>
            <a:ln>
              <a:noFill/>
            </a:ln>
            <a:effectLst/>
          </c:spPr>
          <c:invertIfNegative val="0"/>
          <c:cat>
            <c:strRef>
              <c:f>'Patent validity graphs'!$S$28:$S$30</c:f>
              <c:strCache>
                <c:ptCount val="3"/>
                <c:pt idx="0">
                  <c:v>Injunction granted</c:v>
                </c:pt>
                <c:pt idx="1">
                  <c:v>Injunction not granted</c:v>
                </c:pt>
                <c:pt idx="2">
                  <c:v>n./a.</c:v>
                </c:pt>
              </c:strCache>
            </c:strRef>
          </c:cat>
          <c:val>
            <c:numRef>
              <c:f>'Patent validity graphs'!$W$28:$W$30</c:f>
              <c:numCache>
                <c:formatCode>General</c:formatCode>
                <c:ptCount val="3"/>
                <c:pt idx="0">
                  <c:v>1</c:v>
                </c:pt>
                <c:pt idx="1">
                  <c:v>1</c:v>
                </c:pt>
                <c:pt idx="2">
                  <c:v>0</c:v>
                </c:pt>
              </c:numCache>
            </c:numRef>
          </c:val>
          <c:extLst>
            <c:ext xmlns:c16="http://schemas.microsoft.com/office/drawing/2014/chart" uri="{C3380CC4-5D6E-409C-BE32-E72D297353CC}">
              <c16:uniqueId val="{00000002-58B3-4377-8AA4-EB050107DBAC}"/>
            </c:ext>
          </c:extLst>
        </c:ser>
        <c:dLbls>
          <c:showLegendKey val="0"/>
          <c:showVal val="0"/>
          <c:showCatName val="0"/>
          <c:showSerName val="0"/>
          <c:showPercent val="0"/>
          <c:showBubbleSize val="0"/>
        </c:dLbls>
        <c:gapWidth val="219"/>
        <c:overlap val="-27"/>
        <c:axId val="538621343"/>
        <c:axId val="1505465456"/>
      </c:barChart>
      <c:catAx>
        <c:axId val="53862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465456"/>
        <c:crosses val="autoZero"/>
        <c:auto val="1"/>
        <c:lblAlgn val="ctr"/>
        <c:lblOffset val="100"/>
        <c:noMultiLvlLbl val="0"/>
      </c:catAx>
      <c:valAx>
        <c:axId val="1505465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621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a:t>
            </a:r>
            <a:r>
              <a:rPr lang="en-US" baseline="0"/>
              <a:t> duration of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'Patent validity graphs'!$AA$1:$AC$1</c:f>
              <c:strCache>
                <c:ptCount val="3"/>
                <c:pt idx="0">
                  <c:v>Injunction case</c:v>
                </c:pt>
                <c:pt idx="1">
                  <c:v>Validity case</c:v>
                </c:pt>
                <c:pt idx="2">
                  <c:v>Median Injunction-Validity lag</c:v>
                </c:pt>
              </c:strCache>
            </c:strRef>
          </c:cat>
          <c:val>
            <c:numRef>
              <c:f>'Patent validity graphs'!$AA$2:$AC$2</c:f>
              <c:numCache>
                <c:formatCode>General</c:formatCode>
                <c:ptCount val="3"/>
                <c:pt idx="0">
                  <c:v>530</c:v>
                </c:pt>
                <c:pt idx="1">
                  <c:v>938</c:v>
                </c:pt>
                <c:pt idx="2">
                  <c:v>518.5</c:v>
                </c:pt>
              </c:numCache>
            </c:numRef>
          </c:val>
          <c:extLst>
            <c:ext xmlns:c16="http://schemas.microsoft.com/office/drawing/2014/chart" uri="{C3380CC4-5D6E-409C-BE32-E72D297353CC}">
              <c16:uniqueId val="{00000000-9255-46A8-BFA0-FBF7273A5A9D}"/>
            </c:ext>
          </c:extLst>
        </c:ser>
        <c:dLbls>
          <c:showLegendKey val="0"/>
          <c:showVal val="0"/>
          <c:showCatName val="0"/>
          <c:showSerName val="0"/>
          <c:showPercent val="0"/>
          <c:showBubbleSize val="0"/>
        </c:dLbls>
        <c:gapWidth val="182"/>
        <c:axId val="1272396448"/>
        <c:axId val="1326393568"/>
      </c:barChart>
      <c:catAx>
        <c:axId val="127239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393568"/>
        <c:crosses val="autoZero"/>
        <c:auto val="1"/>
        <c:lblAlgn val="ctr"/>
        <c:lblOffset val="100"/>
        <c:noMultiLvlLbl val="0"/>
      </c:catAx>
      <c:valAx>
        <c:axId val="1326393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3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Injunctions Granted</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A0-4E4F-8942-9DBE6245BF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A0-4E4F-8942-9DBE6245BF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('Patent validity graphs'!$AF$1,'Patent validity graphs'!$AF$3)</c:f>
              <c:strCache>
                <c:ptCount val="2"/>
                <c:pt idx="0">
                  <c:v>Patents challenged</c:v>
                </c:pt>
                <c:pt idx="1">
                  <c:v>Patents not challenged</c:v>
                </c:pt>
              </c:strCache>
            </c:strRef>
          </c:cat>
          <c:val>
            <c:numRef>
              <c:f>('Patent validity graphs'!$AF$2,'Patent validity graphs'!$AF$4)</c:f>
              <c:numCache>
                <c:formatCode>General</c:formatCode>
                <c:ptCount val="2"/>
                <c:pt idx="0">
                  <c:v>25</c:v>
                </c:pt>
                <c:pt idx="1">
                  <c:v>2</c:v>
                </c:pt>
              </c:numCache>
            </c:numRef>
          </c:val>
          <c:extLst>
            <c:ext xmlns:c16="http://schemas.microsoft.com/office/drawing/2014/chart" uri="{C3380CC4-5D6E-409C-BE32-E72D297353CC}">
              <c16:uniqueId val="{00000000-02C0-422B-8752-845CB1FC708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Injunctions and Validity challenges</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ofPieChart>
        <c:ofPieType val="pie"/>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3D-4AC1-ADFE-3C67243A0E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3D-4AC1-ADFE-3C67243A0E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83D-4AC1-ADFE-3C67243A0E7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'Patent validity graphs'!$AE$23:$AE$26</c15:sqref>
                  </c15:fullRef>
                </c:ext>
              </c:extLst>
              <c:f>'Patent validity graphs'!$AE$24:$AE$26</c:f>
              <c:strCache>
                <c:ptCount val="3"/>
                <c:pt idx="0">
                  <c:v>Patents not challenged</c:v>
                </c:pt>
                <c:pt idx="1">
                  <c:v>Injunctions with conflicting validity decision</c:v>
                </c:pt>
                <c:pt idx="2">
                  <c:v>Injunctions w.o. conflicting validity decision</c:v>
                </c:pt>
              </c:strCache>
            </c:strRef>
          </c:cat>
          <c:val>
            <c:numRef>
              <c:extLst>
                <c:ext xmlns:c15="http://schemas.microsoft.com/office/drawing/2012/chart" uri="{02D57815-91ED-43cb-92C2-25804820EDAC}">
                  <c15:fullRef>
                    <c15:sqref>'Patent validity graphs'!$AF$23:$AF$26</c15:sqref>
                  </c15:fullRef>
                </c:ext>
              </c:extLst>
              <c:f>'Patent validity graphs'!$AF$24:$AF$26</c:f>
              <c:numCache>
                <c:formatCode>General</c:formatCode>
                <c:ptCount val="3"/>
                <c:pt idx="0">
                  <c:v>2</c:v>
                </c:pt>
                <c:pt idx="1">
                  <c:v>12</c:v>
                </c:pt>
                <c:pt idx="2">
                  <c:v>13</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48FE-4F7E-980B-5EAEEAFBBC33}"/>
            </c:ext>
          </c:extLst>
        </c:ser>
        <c:dLbls>
          <c:dLblPos val="inEnd"/>
          <c:showLegendKey val="0"/>
          <c:showVal val="0"/>
          <c:showCatName val="0"/>
          <c:showSerName val="0"/>
          <c:showPercent val="1"/>
          <c:showBubbleSize val="0"/>
          <c:showLeaderLines val="1"/>
        </c:dLbls>
        <c:gapWidth val="100"/>
        <c:splitType val="pos"/>
        <c:splitPos val="2"/>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Worldwide</a:t>
            </a:r>
            <a:r>
              <a:rPr lang="en-US" baseline="0"/>
              <a:t> case - by outcome (without transition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worldwide'!$A$3:$B$3</c:f>
              <c:strCache>
                <c:ptCount val="2"/>
                <c:pt idx="0">
                  <c:v>Injunction</c:v>
                </c:pt>
                <c:pt idx="1">
                  <c:v>Yes</c:v>
                </c:pt>
              </c:strCache>
            </c:strRef>
          </c:tx>
          <c:spPr>
            <a:solidFill>
              <a:schemeClr val="accent1"/>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worldwide'!$C$3:$D$3</c:f>
              <c:numCache>
                <c:formatCode>General</c:formatCode>
                <c:ptCount val="2"/>
                <c:pt idx="0">
                  <c:v>14</c:v>
                </c:pt>
                <c:pt idx="1">
                  <c:v>5</c:v>
                </c:pt>
              </c:numCache>
            </c:numRef>
          </c:val>
          <c:extLst>
            <c:ext xmlns:c16="http://schemas.microsoft.com/office/drawing/2014/chart" uri="{C3380CC4-5D6E-409C-BE32-E72D297353CC}">
              <c16:uniqueId val="{00000000-5E78-4807-A367-BC17278A636C}"/>
            </c:ext>
          </c:extLst>
        </c:ser>
        <c:ser>
          <c:idx val="1"/>
          <c:order val="1"/>
          <c:tx>
            <c:strRef>
              <c:f>'FRAND pools and worldwide'!$A$4:$B$4</c:f>
              <c:strCache>
                <c:ptCount val="2"/>
                <c:pt idx="0">
                  <c:v>Injunction</c:v>
                </c:pt>
                <c:pt idx="1">
                  <c:v>No</c:v>
                </c:pt>
              </c:strCache>
            </c:strRef>
          </c:tx>
          <c:spPr>
            <a:solidFill>
              <a:schemeClr val="accent2"/>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worldwide'!$C$4:$D$4</c:f>
              <c:numCache>
                <c:formatCode>General</c:formatCode>
                <c:ptCount val="2"/>
                <c:pt idx="0">
                  <c:v>10</c:v>
                </c:pt>
                <c:pt idx="1">
                  <c:v>5</c:v>
                </c:pt>
              </c:numCache>
            </c:numRef>
          </c:val>
          <c:extLst>
            <c:ext xmlns:c16="http://schemas.microsoft.com/office/drawing/2014/chart" uri="{C3380CC4-5D6E-409C-BE32-E72D297353CC}">
              <c16:uniqueId val="{00000001-5E78-4807-A367-BC17278A636C}"/>
            </c:ext>
          </c:extLst>
        </c:ser>
        <c:ser>
          <c:idx val="2"/>
          <c:order val="2"/>
          <c:tx>
            <c:strRef>
              <c:f>'FRAND pools and worldwide'!$A$5:$B$5</c:f>
              <c:strCache>
                <c:ptCount val="2"/>
                <c:pt idx="0">
                  <c:v>Injunction</c:v>
                </c:pt>
                <c:pt idx="1">
                  <c:v>n./a.</c:v>
                </c:pt>
              </c:strCache>
            </c:strRef>
          </c:tx>
          <c:spPr>
            <a:solidFill>
              <a:schemeClr val="accent3"/>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worldwide'!$C$5:$D$5</c:f>
              <c:numCache>
                <c:formatCode>General</c:formatCode>
                <c:ptCount val="2"/>
                <c:pt idx="0">
                  <c:v>0</c:v>
                </c:pt>
                <c:pt idx="1">
                  <c:v>1</c:v>
                </c:pt>
              </c:numCache>
            </c:numRef>
          </c:val>
          <c:extLst>
            <c:ext xmlns:c16="http://schemas.microsoft.com/office/drawing/2014/chart" uri="{C3380CC4-5D6E-409C-BE32-E72D297353CC}">
              <c16:uniqueId val="{00000002-5E78-4807-A367-BC17278A636C}"/>
            </c:ext>
          </c:extLst>
        </c:ser>
        <c:dLbls>
          <c:showLegendKey val="0"/>
          <c:showVal val="0"/>
          <c:showCatName val="0"/>
          <c:showSerName val="0"/>
          <c:showPercent val="0"/>
          <c:showBubbleSize val="0"/>
        </c:dLbls>
        <c:gapWidth val="219"/>
        <c:overlap val="-27"/>
        <c:axId val="1510404288"/>
        <c:axId val="2085629024"/>
      </c:barChart>
      <c:catAx>
        <c:axId val="15104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29024"/>
        <c:crosses val="autoZero"/>
        <c:auto val="1"/>
        <c:lblAlgn val="ctr"/>
        <c:lblOffset val="100"/>
        <c:noMultiLvlLbl val="0"/>
      </c:catAx>
      <c:valAx>
        <c:axId val="208562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0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Pool participation and outcome </a:t>
            </a:r>
            <a:r>
              <a:rPr lang="en-US" sz="1400" b="0" i="0" u="none" strike="noStrike" kern="1200" spc="0" baseline="0">
                <a:solidFill>
                  <a:sysClr val="windowText" lastClr="000000">
                    <a:lumMod val="65000"/>
                    <a:lumOff val="35000"/>
                  </a:sysClr>
                </a:solidFill>
              </a:rPr>
              <a:t>(without transition cases)</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worldwide'!$H$3:$I$3</c:f>
              <c:strCache>
                <c:ptCount val="2"/>
                <c:pt idx="0">
                  <c:v>Injunction</c:v>
                </c:pt>
                <c:pt idx="1">
                  <c:v>Yes</c:v>
                </c:pt>
              </c:strCache>
            </c:strRef>
          </c:tx>
          <c:spPr>
            <a:solidFill>
              <a:schemeClr val="accent1"/>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worldwide'!$J$3:$K$3</c:f>
              <c:numCache>
                <c:formatCode>General</c:formatCode>
                <c:ptCount val="2"/>
                <c:pt idx="0">
                  <c:v>11</c:v>
                </c:pt>
                <c:pt idx="1">
                  <c:v>8</c:v>
                </c:pt>
              </c:numCache>
            </c:numRef>
          </c:val>
          <c:extLst>
            <c:ext xmlns:c16="http://schemas.microsoft.com/office/drawing/2014/chart" uri="{C3380CC4-5D6E-409C-BE32-E72D297353CC}">
              <c16:uniqueId val="{00000000-F07C-4005-8F69-07A2FDCAE20C}"/>
            </c:ext>
          </c:extLst>
        </c:ser>
        <c:ser>
          <c:idx val="1"/>
          <c:order val="1"/>
          <c:tx>
            <c:strRef>
              <c:f>'FRAND pools and worldwide'!$H$4:$I$4</c:f>
              <c:strCache>
                <c:ptCount val="2"/>
                <c:pt idx="0">
                  <c:v>Injunction</c:v>
                </c:pt>
                <c:pt idx="1">
                  <c:v>No</c:v>
                </c:pt>
              </c:strCache>
            </c:strRef>
          </c:tx>
          <c:spPr>
            <a:solidFill>
              <a:schemeClr val="accent2"/>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worldwide'!$J$4:$K$4</c:f>
              <c:numCache>
                <c:formatCode>General</c:formatCode>
                <c:ptCount val="2"/>
                <c:pt idx="0">
                  <c:v>0</c:v>
                </c:pt>
                <c:pt idx="1">
                  <c:v>15</c:v>
                </c:pt>
              </c:numCache>
            </c:numRef>
          </c:val>
          <c:extLst>
            <c:ext xmlns:c16="http://schemas.microsoft.com/office/drawing/2014/chart" uri="{C3380CC4-5D6E-409C-BE32-E72D297353CC}">
              <c16:uniqueId val="{00000001-F07C-4005-8F69-07A2FDCAE20C}"/>
            </c:ext>
          </c:extLst>
        </c:ser>
        <c:ser>
          <c:idx val="2"/>
          <c:order val="2"/>
          <c:tx>
            <c:strRef>
              <c:f>'FRAND pools and worldwide'!$H$5:$I$5</c:f>
              <c:strCache>
                <c:ptCount val="2"/>
                <c:pt idx="0">
                  <c:v>Injunction</c:v>
                </c:pt>
                <c:pt idx="1">
                  <c:v>n./a.</c:v>
                </c:pt>
              </c:strCache>
            </c:strRef>
          </c:tx>
          <c:spPr>
            <a:solidFill>
              <a:schemeClr val="accent3"/>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worldwide'!$J$5:$K$5</c:f>
              <c:numCache>
                <c:formatCode>General</c:formatCode>
                <c:ptCount val="2"/>
                <c:pt idx="0">
                  <c:v>1</c:v>
                </c:pt>
                <c:pt idx="1">
                  <c:v>0</c:v>
                </c:pt>
              </c:numCache>
            </c:numRef>
          </c:val>
          <c:extLst>
            <c:ext xmlns:c16="http://schemas.microsoft.com/office/drawing/2014/chart" uri="{C3380CC4-5D6E-409C-BE32-E72D297353CC}">
              <c16:uniqueId val="{00000003-F07C-4005-8F69-07A2FDCAE20C}"/>
            </c:ext>
          </c:extLst>
        </c:ser>
        <c:dLbls>
          <c:showLegendKey val="0"/>
          <c:showVal val="0"/>
          <c:showCatName val="0"/>
          <c:showSerName val="0"/>
          <c:showPercent val="0"/>
          <c:showBubbleSize val="0"/>
        </c:dLbls>
        <c:gapWidth val="219"/>
        <c:overlap val="-27"/>
        <c:axId val="1199840592"/>
        <c:axId val="1501177808"/>
      </c:barChart>
      <c:catAx>
        <c:axId val="119984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77808"/>
        <c:crosses val="autoZero"/>
        <c:auto val="1"/>
        <c:lblAlgn val="ctr"/>
        <c:lblOffset val="100"/>
        <c:noMultiLvlLbl val="0"/>
      </c:catAx>
      <c:valAx>
        <c:axId val="15011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4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Worldwide</a:t>
            </a:r>
            <a:r>
              <a:rPr lang="en-US" baseline="0"/>
              <a:t> case - by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worldwide'!$A$3:$B$3</c:f>
              <c:strCache>
                <c:ptCount val="2"/>
                <c:pt idx="0">
                  <c:v>Injunction</c:v>
                </c:pt>
                <c:pt idx="1">
                  <c:v>Yes</c:v>
                </c:pt>
              </c:strCache>
            </c:strRef>
          </c:tx>
          <c:spPr>
            <a:solidFill>
              <a:schemeClr val="accent1"/>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worldwide'!$C$26:$D$26</c:f>
              <c:numCache>
                <c:formatCode>General</c:formatCode>
                <c:ptCount val="2"/>
                <c:pt idx="0">
                  <c:v>22</c:v>
                </c:pt>
                <c:pt idx="1">
                  <c:v>5</c:v>
                </c:pt>
              </c:numCache>
            </c:numRef>
          </c:val>
          <c:extLst>
            <c:ext xmlns:c16="http://schemas.microsoft.com/office/drawing/2014/chart" uri="{C3380CC4-5D6E-409C-BE32-E72D297353CC}">
              <c16:uniqueId val="{00000000-3418-46F2-A23A-8D25EA25BCAA}"/>
            </c:ext>
          </c:extLst>
        </c:ser>
        <c:ser>
          <c:idx val="1"/>
          <c:order val="1"/>
          <c:tx>
            <c:strRef>
              <c:f>'FRAND pools and worldwide'!$A$4:$B$4</c:f>
              <c:strCache>
                <c:ptCount val="2"/>
                <c:pt idx="0">
                  <c:v>Injunction</c:v>
                </c:pt>
                <c:pt idx="1">
                  <c:v>No</c:v>
                </c:pt>
              </c:strCache>
            </c:strRef>
          </c:tx>
          <c:spPr>
            <a:solidFill>
              <a:schemeClr val="accent2"/>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worldwide'!$C$27:$D$27</c:f>
              <c:numCache>
                <c:formatCode>General</c:formatCode>
                <c:ptCount val="2"/>
                <c:pt idx="0">
                  <c:v>11</c:v>
                </c:pt>
                <c:pt idx="1">
                  <c:v>6</c:v>
                </c:pt>
              </c:numCache>
            </c:numRef>
          </c:val>
          <c:extLst>
            <c:ext xmlns:c16="http://schemas.microsoft.com/office/drawing/2014/chart" uri="{C3380CC4-5D6E-409C-BE32-E72D297353CC}">
              <c16:uniqueId val="{00000001-3418-46F2-A23A-8D25EA25BCAA}"/>
            </c:ext>
          </c:extLst>
        </c:ser>
        <c:ser>
          <c:idx val="2"/>
          <c:order val="2"/>
          <c:tx>
            <c:strRef>
              <c:f>'FRAND pools and worldwide'!$A$5:$B$5</c:f>
              <c:strCache>
                <c:ptCount val="2"/>
                <c:pt idx="0">
                  <c:v>Injunction</c:v>
                </c:pt>
                <c:pt idx="1">
                  <c:v>n./a.</c:v>
                </c:pt>
              </c:strCache>
            </c:strRef>
          </c:tx>
          <c:spPr>
            <a:solidFill>
              <a:schemeClr val="accent3"/>
            </a:solidFill>
            <a:ln>
              <a:noFill/>
            </a:ln>
            <a:effectLst/>
          </c:spPr>
          <c:invertIfNegative val="0"/>
          <c:cat>
            <c:multiLvlStrRef>
              <c:f>'FRAND pools and worldwide'!$C$1:$D$2</c:f>
              <c:multiLvlStrCache>
                <c:ptCount val="2"/>
                <c:lvl>
                  <c:pt idx="0">
                    <c:v>Yes</c:v>
                  </c:pt>
                  <c:pt idx="1">
                    <c:v>?</c:v>
                  </c:pt>
                </c:lvl>
                <c:lvl>
                  <c:pt idx="0">
                    <c:v>Worldwide</c:v>
                  </c:pt>
                </c:lvl>
              </c:multiLvlStrCache>
            </c:multiLvlStrRef>
          </c:cat>
          <c:val>
            <c:numRef>
              <c:f>'FRAND pools and worldwide'!$C$28:$D$28</c:f>
              <c:numCache>
                <c:formatCode>General</c:formatCode>
                <c:ptCount val="2"/>
                <c:pt idx="0">
                  <c:v>0</c:v>
                </c:pt>
                <c:pt idx="1">
                  <c:v>1</c:v>
                </c:pt>
              </c:numCache>
            </c:numRef>
          </c:val>
          <c:extLst>
            <c:ext xmlns:c16="http://schemas.microsoft.com/office/drawing/2014/chart" uri="{C3380CC4-5D6E-409C-BE32-E72D297353CC}">
              <c16:uniqueId val="{00000002-3418-46F2-A23A-8D25EA25BCAA}"/>
            </c:ext>
          </c:extLst>
        </c:ser>
        <c:dLbls>
          <c:showLegendKey val="0"/>
          <c:showVal val="0"/>
          <c:showCatName val="0"/>
          <c:showSerName val="0"/>
          <c:showPercent val="0"/>
          <c:showBubbleSize val="0"/>
        </c:dLbls>
        <c:gapWidth val="219"/>
        <c:overlap val="-27"/>
        <c:axId val="1510404288"/>
        <c:axId val="2085629024"/>
      </c:barChart>
      <c:catAx>
        <c:axId val="15104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5629024"/>
        <c:crosses val="autoZero"/>
        <c:auto val="1"/>
        <c:lblAlgn val="ctr"/>
        <c:lblOffset val="100"/>
        <c:noMultiLvlLbl val="0"/>
      </c:catAx>
      <c:valAx>
        <c:axId val="208562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040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Pool participation and outcome</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'FRAND pools and worldwide'!$H$3:$I$3</c:f>
              <c:strCache>
                <c:ptCount val="2"/>
                <c:pt idx="0">
                  <c:v>Injunction</c:v>
                </c:pt>
                <c:pt idx="1">
                  <c:v>Yes</c:v>
                </c:pt>
              </c:strCache>
            </c:strRef>
          </c:tx>
          <c:spPr>
            <a:solidFill>
              <a:schemeClr val="accent1"/>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worldwide'!$J$26:$K$26</c:f>
              <c:numCache>
                <c:formatCode>General</c:formatCode>
                <c:ptCount val="2"/>
                <c:pt idx="0">
                  <c:v>18</c:v>
                </c:pt>
                <c:pt idx="1">
                  <c:v>9</c:v>
                </c:pt>
              </c:numCache>
            </c:numRef>
          </c:val>
          <c:extLst>
            <c:ext xmlns:c16="http://schemas.microsoft.com/office/drawing/2014/chart" uri="{C3380CC4-5D6E-409C-BE32-E72D297353CC}">
              <c16:uniqueId val="{00000000-0F46-49BB-9DEA-2BF42FA7B16C}"/>
            </c:ext>
          </c:extLst>
        </c:ser>
        <c:ser>
          <c:idx val="1"/>
          <c:order val="1"/>
          <c:tx>
            <c:strRef>
              <c:f>'FRAND pools and worldwide'!$H$4:$I$4</c:f>
              <c:strCache>
                <c:ptCount val="2"/>
                <c:pt idx="0">
                  <c:v>Injunction</c:v>
                </c:pt>
                <c:pt idx="1">
                  <c:v>No</c:v>
                </c:pt>
              </c:strCache>
            </c:strRef>
          </c:tx>
          <c:spPr>
            <a:solidFill>
              <a:schemeClr val="accent2"/>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worldwide'!$J$27:$K$27</c:f>
              <c:numCache>
                <c:formatCode>General</c:formatCode>
                <c:ptCount val="2"/>
                <c:pt idx="0">
                  <c:v>0</c:v>
                </c:pt>
                <c:pt idx="1">
                  <c:v>17</c:v>
                </c:pt>
              </c:numCache>
            </c:numRef>
          </c:val>
          <c:extLst>
            <c:ext xmlns:c16="http://schemas.microsoft.com/office/drawing/2014/chart" uri="{C3380CC4-5D6E-409C-BE32-E72D297353CC}">
              <c16:uniqueId val="{00000001-0F46-49BB-9DEA-2BF42FA7B16C}"/>
            </c:ext>
          </c:extLst>
        </c:ser>
        <c:ser>
          <c:idx val="2"/>
          <c:order val="2"/>
          <c:tx>
            <c:strRef>
              <c:f>'FRAND pools and worldwide'!$H$5:$I$5</c:f>
              <c:strCache>
                <c:ptCount val="2"/>
                <c:pt idx="0">
                  <c:v>Injunction</c:v>
                </c:pt>
                <c:pt idx="1">
                  <c:v>n./a.</c:v>
                </c:pt>
              </c:strCache>
            </c:strRef>
          </c:tx>
          <c:spPr>
            <a:solidFill>
              <a:schemeClr val="accent3"/>
            </a:solidFill>
            <a:ln>
              <a:noFill/>
            </a:ln>
            <a:effectLst/>
          </c:spPr>
          <c:invertIfNegative val="0"/>
          <c:cat>
            <c:multiLvlStrRef>
              <c:f>'FRAND pools and worldwide'!$J$1:$K$2</c:f>
              <c:multiLvlStrCache>
                <c:ptCount val="2"/>
                <c:lvl>
                  <c:pt idx="0">
                    <c:v>Yes</c:v>
                  </c:pt>
                  <c:pt idx="1">
                    <c:v>?</c:v>
                  </c:pt>
                </c:lvl>
                <c:lvl>
                  <c:pt idx="0">
                    <c:v>Pool</c:v>
                  </c:pt>
                </c:lvl>
              </c:multiLvlStrCache>
            </c:multiLvlStrRef>
          </c:cat>
          <c:val>
            <c:numRef>
              <c:f>'FRAND pools and worldwide'!$J$28:$K$28</c:f>
              <c:numCache>
                <c:formatCode>General</c:formatCode>
                <c:ptCount val="2"/>
                <c:pt idx="0">
                  <c:v>1</c:v>
                </c:pt>
                <c:pt idx="1">
                  <c:v>0</c:v>
                </c:pt>
              </c:numCache>
            </c:numRef>
          </c:val>
          <c:extLst>
            <c:ext xmlns:c16="http://schemas.microsoft.com/office/drawing/2014/chart" uri="{C3380CC4-5D6E-409C-BE32-E72D297353CC}">
              <c16:uniqueId val="{00000002-0F46-49BB-9DEA-2BF42FA7B16C}"/>
            </c:ext>
          </c:extLst>
        </c:ser>
        <c:dLbls>
          <c:showLegendKey val="0"/>
          <c:showVal val="0"/>
          <c:showCatName val="0"/>
          <c:showSerName val="0"/>
          <c:showPercent val="0"/>
          <c:showBubbleSize val="0"/>
        </c:dLbls>
        <c:gapWidth val="219"/>
        <c:overlap val="-27"/>
        <c:axId val="1199840592"/>
        <c:axId val="1501177808"/>
      </c:barChart>
      <c:catAx>
        <c:axId val="119984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177808"/>
        <c:crosses val="autoZero"/>
        <c:auto val="1"/>
        <c:lblAlgn val="ctr"/>
        <c:lblOffset val="100"/>
        <c:noMultiLvlLbl val="0"/>
      </c:catAx>
      <c:valAx>
        <c:axId val="150117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84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Dominant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FromPython!$B$46</c:f>
              <c:strCache>
                <c:ptCount val="1"/>
                <c:pt idx="0">
                  <c:v>Yes</c:v>
                </c:pt>
              </c:strCache>
            </c:strRef>
          </c:tx>
          <c:spPr>
            <a:solidFill>
              <a:schemeClr val="accent1"/>
            </a:solidFill>
            <a:ln>
              <a:noFill/>
            </a:ln>
            <a:effectLst/>
          </c:spPr>
          <c:invertIfNegative val="0"/>
          <c:cat>
            <c:strRef>
              <c:f>FromPython!$A$48:$A$50</c:f>
              <c:strCache>
                <c:ptCount val="3"/>
                <c:pt idx="0">
                  <c:v>Yes</c:v>
                </c:pt>
                <c:pt idx="1">
                  <c:v>?</c:v>
                </c:pt>
                <c:pt idx="2">
                  <c:v>-</c:v>
                </c:pt>
              </c:strCache>
            </c:strRef>
          </c:cat>
          <c:val>
            <c:numRef>
              <c:f>FromPython!$B$48:$B$50</c:f>
              <c:numCache>
                <c:formatCode>General</c:formatCode>
                <c:ptCount val="3"/>
                <c:pt idx="0">
                  <c:v>24</c:v>
                </c:pt>
                <c:pt idx="1">
                  <c:v>0</c:v>
                </c:pt>
                <c:pt idx="2">
                  <c:v>3</c:v>
                </c:pt>
              </c:numCache>
            </c:numRef>
          </c:val>
          <c:extLst>
            <c:ext xmlns:c16="http://schemas.microsoft.com/office/drawing/2014/chart" uri="{C3380CC4-5D6E-409C-BE32-E72D297353CC}">
              <c16:uniqueId val="{00000000-D0DC-4AFA-99B6-A1EAD6231257}"/>
            </c:ext>
          </c:extLst>
        </c:ser>
        <c:ser>
          <c:idx val="1"/>
          <c:order val="1"/>
          <c:tx>
            <c:strRef>
              <c:f>FromPython!$C$46</c:f>
              <c:strCache>
                <c:ptCount val="1"/>
                <c:pt idx="0">
                  <c:v>No</c:v>
                </c:pt>
              </c:strCache>
            </c:strRef>
          </c:tx>
          <c:spPr>
            <a:solidFill>
              <a:schemeClr val="accent2"/>
            </a:solidFill>
            <a:ln>
              <a:noFill/>
            </a:ln>
            <a:effectLst/>
          </c:spPr>
          <c:invertIfNegative val="0"/>
          <c:cat>
            <c:strRef>
              <c:f>FromPython!$A$48:$A$50</c:f>
              <c:strCache>
                <c:ptCount val="3"/>
                <c:pt idx="0">
                  <c:v>Yes</c:v>
                </c:pt>
                <c:pt idx="1">
                  <c:v>?</c:v>
                </c:pt>
                <c:pt idx="2">
                  <c:v>-</c:v>
                </c:pt>
              </c:strCache>
            </c:strRef>
          </c:cat>
          <c:val>
            <c:numRef>
              <c:f>FromPython!$C$48:$C$50</c:f>
              <c:numCache>
                <c:formatCode>General</c:formatCode>
                <c:ptCount val="3"/>
                <c:pt idx="0">
                  <c:v>16</c:v>
                </c:pt>
                <c:pt idx="1">
                  <c:v>0</c:v>
                </c:pt>
                <c:pt idx="2">
                  <c:v>1</c:v>
                </c:pt>
              </c:numCache>
            </c:numRef>
          </c:val>
          <c:extLst>
            <c:ext xmlns:c16="http://schemas.microsoft.com/office/drawing/2014/chart" uri="{C3380CC4-5D6E-409C-BE32-E72D297353CC}">
              <c16:uniqueId val="{00000001-D0DC-4AFA-99B6-A1EAD6231257}"/>
            </c:ext>
          </c:extLst>
        </c:ser>
        <c:ser>
          <c:idx val="2"/>
          <c:order val="2"/>
          <c:tx>
            <c:strRef>
              <c:f>FromPython!$D$46</c:f>
              <c:strCache>
                <c:ptCount val="1"/>
                <c:pt idx="0">
                  <c:v>n./a.</c:v>
                </c:pt>
              </c:strCache>
            </c:strRef>
          </c:tx>
          <c:spPr>
            <a:solidFill>
              <a:schemeClr val="accent3"/>
            </a:solidFill>
            <a:ln>
              <a:noFill/>
            </a:ln>
            <a:effectLst/>
          </c:spPr>
          <c:invertIfNegative val="0"/>
          <c:cat>
            <c:strRef>
              <c:f>FromPython!$A$48:$A$50</c:f>
              <c:strCache>
                <c:ptCount val="3"/>
                <c:pt idx="0">
                  <c:v>Yes</c:v>
                </c:pt>
                <c:pt idx="1">
                  <c:v>?</c:v>
                </c:pt>
                <c:pt idx="2">
                  <c:v>-</c:v>
                </c:pt>
              </c:strCache>
            </c:strRef>
          </c:cat>
          <c:val>
            <c:numRef>
              <c:f>FromPython!$D$48:$D$50</c:f>
              <c:numCache>
                <c:formatCode>General</c:formatCode>
                <c:ptCount val="3"/>
                <c:pt idx="0">
                  <c:v>0</c:v>
                </c:pt>
                <c:pt idx="1">
                  <c:v>1</c:v>
                </c:pt>
                <c:pt idx="2">
                  <c:v>0</c:v>
                </c:pt>
              </c:numCache>
            </c:numRef>
          </c:val>
          <c:extLst>
            <c:ext xmlns:c16="http://schemas.microsoft.com/office/drawing/2014/chart" uri="{C3380CC4-5D6E-409C-BE32-E72D297353CC}">
              <c16:uniqueId val="{00000002-D0DC-4AFA-99B6-A1EAD6231257}"/>
            </c:ext>
          </c:extLst>
        </c:ser>
        <c:dLbls>
          <c:showLegendKey val="0"/>
          <c:showVal val="0"/>
          <c:showCatName val="0"/>
          <c:showSerName val="0"/>
          <c:showPercent val="0"/>
          <c:showBubbleSize val="0"/>
        </c:dLbls>
        <c:gapWidth val="219"/>
        <c:overlap val="-27"/>
        <c:axId val="940583599"/>
        <c:axId val="940600879"/>
      </c:barChart>
      <c:catAx>
        <c:axId val="940583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600879"/>
        <c:crosses val="autoZero"/>
        <c:auto val="1"/>
        <c:lblAlgn val="ctr"/>
        <c:lblOffset val="100"/>
        <c:noMultiLvlLbl val="0"/>
      </c:catAx>
      <c:valAx>
        <c:axId val="94060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583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Abuse of Dominant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FromPython!$B$53</c:f>
              <c:strCache>
                <c:ptCount val="1"/>
                <c:pt idx="0">
                  <c:v>Yes</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FromPython!$A$54:$A$58</c15:sqref>
                  </c15:fullRef>
                </c:ext>
              </c:extLst>
              <c:f>FromPython!$A$55:$A$58</c:f>
              <c:strCache>
                <c:ptCount val="4"/>
                <c:pt idx="0">
                  <c:v>Yes</c:v>
                </c:pt>
                <c:pt idx="1">
                  <c:v>No</c:v>
                </c:pt>
                <c:pt idx="2">
                  <c:v>?</c:v>
                </c:pt>
                <c:pt idx="3">
                  <c:v>-</c:v>
                </c:pt>
              </c:strCache>
            </c:strRef>
          </c:cat>
          <c:val>
            <c:numRef>
              <c:extLst>
                <c:ext xmlns:c15="http://schemas.microsoft.com/office/drawing/2012/chart" uri="{02D57815-91ED-43cb-92C2-25804820EDAC}">
                  <c15:fullRef>
                    <c15:sqref>FromPython!$B$54:$B$58</c15:sqref>
                  </c15:fullRef>
                </c:ext>
              </c:extLst>
              <c:f>FromPython!$B$55:$B$58</c:f>
              <c:numCache>
                <c:formatCode>General</c:formatCode>
                <c:ptCount val="4"/>
                <c:pt idx="0">
                  <c:v>0</c:v>
                </c:pt>
                <c:pt idx="1">
                  <c:v>26</c:v>
                </c:pt>
                <c:pt idx="2">
                  <c:v>0</c:v>
                </c:pt>
                <c:pt idx="3">
                  <c:v>1</c:v>
                </c:pt>
              </c:numCache>
            </c:numRef>
          </c:val>
          <c:extLst>
            <c:ext xmlns:c16="http://schemas.microsoft.com/office/drawing/2014/chart" uri="{C3380CC4-5D6E-409C-BE32-E72D297353CC}">
              <c16:uniqueId val="{00000000-371F-424C-9106-9138EEEF5EFE}"/>
            </c:ext>
          </c:extLst>
        </c:ser>
        <c:ser>
          <c:idx val="1"/>
          <c:order val="1"/>
          <c:tx>
            <c:strRef>
              <c:f>FromPython!$C$53</c:f>
              <c:strCache>
                <c:ptCount val="1"/>
                <c:pt idx="0">
                  <c:v>No</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FromPython!$A$54:$A$58</c15:sqref>
                  </c15:fullRef>
                </c:ext>
              </c:extLst>
              <c:f>FromPython!$A$55:$A$58</c:f>
              <c:strCache>
                <c:ptCount val="4"/>
                <c:pt idx="0">
                  <c:v>Yes</c:v>
                </c:pt>
                <c:pt idx="1">
                  <c:v>No</c:v>
                </c:pt>
                <c:pt idx="2">
                  <c:v>?</c:v>
                </c:pt>
                <c:pt idx="3">
                  <c:v>-</c:v>
                </c:pt>
              </c:strCache>
            </c:strRef>
          </c:cat>
          <c:val>
            <c:numRef>
              <c:extLst>
                <c:ext xmlns:c15="http://schemas.microsoft.com/office/drawing/2012/chart" uri="{02D57815-91ED-43cb-92C2-25804820EDAC}">
                  <c15:fullRef>
                    <c15:sqref>FromPython!$C$54:$C$58</c15:sqref>
                  </c15:fullRef>
                </c:ext>
              </c:extLst>
              <c:f>FromPython!$C$55:$C$58</c:f>
              <c:numCache>
                <c:formatCode>General</c:formatCode>
                <c:ptCount val="4"/>
                <c:pt idx="0">
                  <c:v>15</c:v>
                </c:pt>
                <c:pt idx="1">
                  <c:v>0</c:v>
                </c:pt>
                <c:pt idx="2">
                  <c:v>2</c:v>
                </c:pt>
                <c:pt idx="3">
                  <c:v>0</c:v>
                </c:pt>
              </c:numCache>
            </c:numRef>
          </c:val>
          <c:extLst>
            <c:ext xmlns:c16="http://schemas.microsoft.com/office/drawing/2014/chart" uri="{C3380CC4-5D6E-409C-BE32-E72D297353CC}">
              <c16:uniqueId val="{00000001-371F-424C-9106-9138EEEF5EFE}"/>
            </c:ext>
          </c:extLst>
        </c:ser>
        <c:ser>
          <c:idx val="2"/>
          <c:order val="2"/>
          <c:tx>
            <c:strRef>
              <c:f>FromPython!$D$53</c:f>
              <c:strCache>
                <c:ptCount val="1"/>
                <c:pt idx="0">
                  <c:v>n./a.</c:v>
                </c:pt>
              </c:strCache>
            </c:strRef>
          </c:tx>
          <c:spPr>
            <a:solidFill>
              <a:schemeClr val="accent3"/>
            </a:solidFill>
            <a:ln>
              <a:noFill/>
            </a:ln>
            <a:effectLst/>
          </c:spPr>
          <c:invertIfNegative val="0"/>
          <c:cat>
            <c:strRef>
              <c:extLst>
                <c:ext xmlns:c15="http://schemas.microsoft.com/office/drawing/2012/chart" uri="{02D57815-91ED-43cb-92C2-25804820EDAC}">
                  <c15:fullRef>
                    <c15:sqref>FromPython!$A$54:$A$58</c15:sqref>
                  </c15:fullRef>
                </c:ext>
              </c:extLst>
              <c:f>FromPython!$A$55:$A$58</c:f>
              <c:strCache>
                <c:ptCount val="4"/>
                <c:pt idx="0">
                  <c:v>Yes</c:v>
                </c:pt>
                <c:pt idx="1">
                  <c:v>No</c:v>
                </c:pt>
                <c:pt idx="2">
                  <c:v>?</c:v>
                </c:pt>
                <c:pt idx="3">
                  <c:v>-</c:v>
                </c:pt>
              </c:strCache>
            </c:strRef>
          </c:cat>
          <c:val>
            <c:numRef>
              <c:extLst>
                <c:ext xmlns:c15="http://schemas.microsoft.com/office/drawing/2012/chart" uri="{02D57815-91ED-43cb-92C2-25804820EDAC}">
                  <c15:fullRef>
                    <c15:sqref>FromPython!$D$54:$D$58</c15:sqref>
                  </c15:fullRef>
                </c:ext>
              </c:extLst>
              <c:f>FromPython!$D$55:$D$58</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2-371F-424C-9106-9138EEEF5EFE}"/>
            </c:ext>
          </c:extLst>
        </c:ser>
        <c:dLbls>
          <c:showLegendKey val="0"/>
          <c:showVal val="0"/>
          <c:showCatName val="0"/>
          <c:showSerName val="0"/>
          <c:showPercent val="0"/>
          <c:showBubbleSize val="0"/>
        </c:dLbls>
        <c:gapWidth val="219"/>
        <c:overlap val="-27"/>
        <c:axId val="945079519"/>
        <c:axId val="945074239"/>
      </c:barChart>
      <c:catAx>
        <c:axId val="94507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074239"/>
        <c:crosses val="autoZero"/>
        <c:auto val="1"/>
        <c:lblAlgn val="ctr"/>
        <c:lblOffset val="100"/>
        <c:noMultiLvlLbl val="0"/>
      </c:catAx>
      <c:valAx>
        <c:axId val="94507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5079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Notice of Infringement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FromPython!$B$61</c:f>
              <c:strCache>
                <c:ptCount val="1"/>
                <c:pt idx="0">
                  <c:v>Yes</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FromPython!$A$62:$A$65</c15:sqref>
                  </c15:fullRef>
                </c:ext>
              </c:extLst>
              <c:f>FromPython!$A$63:$A$65</c:f>
              <c:strCache>
                <c:ptCount val="3"/>
                <c:pt idx="0">
                  <c:v>Yes</c:v>
                </c:pt>
                <c:pt idx="1">
                  <c:v>?</c:v>
                </c:pt>
                <c:pt idx="2">
                  <c:v>-</c:v>
                </c:pt>
              </c:strCache>
            </c:strRef>
          </c:cat>
          <c:val>
            <c:numRef>
              <c:extLst>
                <c:ext xmlns:c15="http://schemas.microsoft.com/office/drawing/2012/chart" uri="{02D57815-91ED-43cb-92C2-25804820EDAC}">
                  <c15:fullRef>
                    <c15:sqref>FromPython!$B$62:$B$65</c15:sqref>
                  </c15:fullRef>
                </c:ext>
              </c:extLst>
              <c:f>FromPython!$B$63:$B$65</c:f>
              <c:numCache>
                <c:formatCode>General</c:formatCode>
                <c:ptCount val="3"/>
                <c:pt idx="0">
                  <c:v>27</c:v>
                </c:pt>
                <c:pt idx="1">
                  <c:v>0</c:v>
                </c:pt>
                <c:pt idx="2">
                  <c:v>0</c:v>
                </c:pt>
              </c:numCache>
            </c:numRef>
          </c:val>
          <c:extLst>
            <c:ext xmlns:c16="http://schemas.microsoft.com/office/drawing/2014/chart" uri="{C3380CC4-5D6E-409C-BE32-E72D297353CC}">
              <c16:uniqueId val="{00000000-4164-43AF-87AC-092B685B5D7B}"/>
            </c:ext>
          </c:extLst>
        </c:ser>
        <c:ser>
          <c:idx val="1"/>
          <c:order val="1"/>
          <c:tx>
            <c:strRef>
              <c:f>FromPython!$C$61</c:f>
              <c:strCache>
                <c:ptCount val="1"/>
                <c:pt idx="0">
                  <c:v>No</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FromPython!$A$62:$A$65</c15:sqref>
                  </c15:fullRef>
                </c:ext>
              </c:extLst>
              <c:f>FromPython!$A$63:$A$65</c:f>
              <c:strCache>
                <c:ptCount val="3"/>
                <c:pt idx="0">
                  <c:v>Yes</c:v>
                </c:pt>
                <c:pt idx="1">
                  <c:v>?</c:v>
                </c:pt>
                <c:pt idx="2">
                  <c:v>-</c:v>
                </c:pt>
              </c:strCache>
            </c:strRef>
          </c:cat>
          <c:val>
            <c:numRef>
              <c:extLst>
                <c:ext xmlns:c15="http://schemas.microsoft.com/office/drawing/2012/chart" uri="{02D57815-91ED-43cb-92C2-25804820EDAC}">
                  <c15:fullRef>
                    <c15:sqref>FromPython!$C$62:$C$65</c15:sqref>
                  </c15:fullRef>
                </c:ext>
              </c:extLst>
              <c:f>FromPython!$C$63:$C$65</c:f>
              <c:numCache>
                <c:formatCode>General</c:formatCode>
                <c:ptCount val="3"/>
                <c:pt idx="0">
                  <c:v>15</c:v>
                </c:pt>
                <c:pt idx="1">
                  <c:v>1</c:v>
                </c:pt>
                <c:pt idx="2">
                  <c:v>1</c:v>
                </c:pt>
              </c:numCache>
            </c:numRef>
          </c:val>
          <c:extLst>
            <c:ext xmlns:c16="http://schemas.microsoft.com/office/drawing/2014/chart" uri="{C3380CC4-5D6E-409C-BE32-E72D297353CC}">
              <c16:uniqueId val="{00000001-4164-43AF-87AC-092B685B5D7B}"/>
            </c:ext>
          </c:extLst>
        </c:ser>
        <c:ser>
          <c:idx val="2"/>
          <c:order val="2"/>
          <c:tx>
            <c:strRef>
              <c:f>FromPython!$D$61</c:f>
              <c:strCache>
                <c:ptCount val="1"/>
                <c:pt idx="0">
                  <c:v>n./a.</c:v>
                </c:pt>
              </c:strCache>
            </c:strRef>
          </c:tx>
          <c:spPr>
            <a:solidFill>
              <a:schemeClr val="accent3"/>
            </a:solidFill>
            <a:ln>
              <a:noFill/>
            </a:ln>
            <a:effectLst/>
          </c:spPr>
          <c:invertIfNegative val="0"/>
          <c:cat>
            <c:strRef>
              <c:extLst>
                <c:ext xmlns:c15="http://schemas.microsoft.com/office/drawing/2012/chart" uri="{02D57815-91ED-43cb-92C2-25804820EDAC}">
                  <c15:fullRef>
                    <c15:sqref>FromPython!$A$62:$A$65</c15:sqref>
                  </c15:fullRef>
                </c:ext>
              </c:extLst>
              <c:f>FromPython!$A$63:$A$65</c:f>
              <c:strCache>
                <c:ptCount val="3"/>
                <c:pt idx="0">
                  <c:v>Yes</c:v>
                </c:pt>
                <c:pt idx="1">
                  <c:v>?</c:v>
                </c:pt>
                <c:pt idx="2">
                  <c:v>-</c:v>
                </c:pt>
              </c:strCache>
            </c:strRef>
          </c:cat>
          <c:val>
            <c:numRef>
              <c:extLst>
                <c:ext xmlns:c15="http://schemas.microsoft.com/office/drawing/2012/chart" uri="{02D57815-91ED-43cb-92C2-25804820EDAC}">
                  <c15:fullRef>
                    <c15:sqref>FromPython!$D$62:$D$65</c15:sqref>
                  </c15:fullRef>
                </c:ext>
              </c:extLst>
              <c:f>FromPython!$D$63:$D$65</c:f>
              <c:numCache>
                <c:formatCode>General</c:formatCode>
                <c:ptCount val="3"/>
                <c:pt idx="0">
                  <c:v>1</c:v>
                </c:pt>
                <c:pt idx="1">
                  <c:v>0</c:v>
                </c:pt>
                <c:pt idx="2">
                  <c:v>0</c:v>
                </c:pt>
              </c:numCache>
            </c:numRef>
          </c:val>
          <c:extLst>
            <c:ext xmlns:c16="http://schemas.microsoft.com/office/drawing/2014/chart" uri="{C3380CC4-5D6E-409C-BE32-E72D297353CC}">
              <c16:uniqueId val="{00000002-4164-43AF-87AC-092B685B5D7B}"/>
            </c:ext>
          </c:extLst>
        </c:ser>
        <c:dLbls>
          <c:showLegendKey val="0"/>
          <c:showVal val="0"/>
          <c:showCatName val="0"/>
          <c:showSerName val="0"/>
          <c:showPercent val="0"/>
          <c:showBubbleSize val="0"/>
        </c:dLbls>
        <c:gapWidth val="219"/>
        <c:overlap val="-27"/>
        <c:axId val="26537200"/>
        <c:axId val="26517520"/>
      </c:barChart>
      <c:catAx>
        <c:axId val="2653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7520"/>
        <c:crosses val="autoZero"/>
        <c:auto val="1"/>
        <c:lblAlgn val="ctr"/>
        <c:lblOffset val="100"/>
        <c:noMultiLvlLbl val="0"/>
      </c:catAx>
      <c:valAx>
        <c:axId val="2651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7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Willingness to license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FromPython!$B$68</c:f>
              <c:strCache>
                <c:ptCount val="1"/>
                <c:pt idx="0">
                  <c:v>Yes</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FromPython!$A$69:$A$73</c15:sqref>
                  </c15:fullRef>
                </c:ext>
              </c:extLst>
              <c:f>FromPython!$A$70:$A$73</c:f>
              <c:strCache>
                <c:ptCount val="4"/>
                <c:pt idx="0">
                  <c:v>Yes</c:v>
                </c:pt>
                <c:pt idx="1">
                  <c:v>No</c:v>
                </c:pt>
                <c:pt idx="2">
                  <c:v>?</c:v>
                </c:pt>
                <c:pt idx="3">
                  <c:v>-</c:v>
                </c:pt>
              </c:strCache>
            </c:strRef>
          </c:cat>
          <c:val>
            <c:numRef>
              <c:extLst>
                <c:ext xmlns:c15="http://schemas.microsoft.com/office/drawing/2012/chart" uri="{02D57815-91ED-43cb-92C2-25804820EDAC}">
                  <c15:fullRef>
                    <c15:sqref>FromPython!$B$69:$B$73</c15:sqref>
                  </c15:fullRef>
                </c:ext>
              </c:extLst>
              <c:f>FromPython!$B$70:$B$73</c:f>
              <c:numCache>
                <c:formatCode>General</c:formatCode>
                <c:ptCount val="4"/>
                <c:pt idx="0">
                  <c:v>9</c:v>
                </c:pt>
                <c:pt idx="1">
                  <c:v>18</c:v>
                </c:pt>
                <c:pt idx="2">
                  <c:v>0</c:v>
                </c:pt>
                <c:pt idx="3">
                  <c:v>0</c:v>
                </c:pt>
              </c:numCache>
            </c:numRef>
          </c:val>
          <c:extLst>
            <c:ext xmlns:c16="http://schemas.microsoft.com/office/drawing/2014/chart" uri="{C3380CC4-5D6E-409C-BE32-E72D297353CC}">
              <c16:uniqueId val="{00000000-7437-4E12-A0EE-CEBB21B4FC72}"/>
            </c:ext>
          </c:extLst>
        </c:ser>
        <c:ser>
          <c:idx val="1"/>
          <c:order val="1"/>
          <c:tx>
            <c:strRef>
              <c:f>FromPython!$C$68</c:f>
              <c:strCache>
                <c:ptCount val="1"/>
                <c:pt idx="0">
                  <c:v>No</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FromPython!$A$69:$A$73</c15:sqref>
                  </c15:fullRef>
                </c:ext>
              </c:extLst>
              <c:f>FromPython!$A$70:$A$73</c:f>
              <c:strCache>
                <c:ptCount val="4"/>
                <c:pt idx="0">
                  <c:v>Yes</c:v>
                </c:pt>
                <c:pt idx="1">
                  <c:v>No</c:v>
                </c:pt>
                <c:pt idx="2">
                  <c:v>?</c:v>
                </c:pt>
                <c:pt idx="3">
                  <c:v>-</c:v>
                </c:pt>
              </c:strCache>
            </c:strRef>
          </c:cat>
          <c:val>
            <c:numRef>
              <c:extLst>
                <c:ext xmlns:c15="http://schemas.microsoft.com/office/drawing/2012/chart" uri="{02D57815-91ED-43cb-92C2-25804820EDAC}">
                  <c15:fullRef>
                    <c15:sqref>FromPython!$C$69:$C$73</c15:sqref>
                  </c15:fullRef>
                </c:ext>
              </c:extLst>
              <c:f>FromPython!$C$70:$C$73</c:f>
              <c:numCache>
                <c:formatCode>General</c:formatCode>
                <c:ptCount val="4"/>
                <c:pt idx="0">
                  <c:v>14</c:v>
                </c:pt>
                <c:pt idx="1">
                  <c:v>1</c:v>
                </c:pt>
                <c:pt idx="2">
                  <c:v>1</c:v>
                </c:pt>
                <c:pt idx="3">
                  <c:v>1</c:v>
                </c:pt>
              </c:numCache>
            </c:numRef>
          </c:val>
          <c:extLst>
            <c:ext xmlns:c16="http://schemas.microsoft.com/office/drawing/2014/chart" uri="{C3380CC4-5D6E-409C-BE32-E72D297353CC}">
              <c16:uniqueId val="{00000001-7437-4E12-A0EE-CEBB21B4FC72}"/>
            </c:ext>
          </c:extLst>
        </c:ser>
        <c:ser>
          <c:idx val="2"/>
          <c:order val="2"/>
          <c:tx>
            <c:strRef>
              <c:f>FromPython!$D$68</c:f>
              <c:strCache>
                <c:ptCount val="1"/>
                <c:pt idx="0">
                  <c:v>n./a.</c:v>
                </c:pt>
              </c:strCache>
            </c:strRef>
          </c:tx>
          <c:spPr>
            <a:solidFill>
              <a:schemeClr val="accent3"/>
            </a:solidFill>
            <a:ln>
              <a:noFill/>
            </a:ln>
            <a:effectLst/>
          </c:spPr>
          <c:invertIfNegative val="0"/>
          <c:cat>
            <c:strRef>
              <c:extLst>
                <c:ext xmlns:c15="http://schemas.microsoft.com/office/drawing/2012/chart" uri="{02D57815-91ED-43cb-92C2-25804820EDAC}">
                  <c15:fullRef>
                    <c15:sqref>FromPython!$A$69:$A$73</c15:sqref>
                  </c15:fullRef>
                </c:ext>
              </c:extLst>
              <c:f>FromPython!$A$70:$A$73</c:f>
              <c:strCache>
                <c:ptCount val="4"/>
                <c:pt idx="0">
                  <c:v>Yes</c:v>
                </c:pt>
                <c:pt idx="1">
                  <c:v>No</c:v>
                </c:pt>
                <c:pt idx="2">
                  <c:v>?</c:v>
                </c:pt>
                <c:pt idx="3">
                  <c:v>-</c:v>
                </c:pt>
              </c:strCache>
            </c:strRef>
          </c:cat>
          <c:val>
            <c:numRef>
              <c:extLst>
                <c:ext xmlns:c15="http://schemas.microsoft.com/office/drawing/2012/chart" uri="{02D57815-91ED-43cb-92C2-25804820EDAC}">
                  <c15:fullRef>
                    <c15:sqref>FromPython!$D$69:$D$73</c15:sqref>
                  </c15:fullRef>
                </c:ext>
              </c:extLst>
              <c:f>FromPython!$D$70:$D$73</c:f>
              <c:numCache>
                <c:formatCode>General</c:formatCode>
                <c:ptCount val="4"/>
                <c:pt idx="0">
                  <c:v>1</c:v>
                </c:pt>
                <c:pt idx="1">
                  <c:v>0</c:v>
                </c:pt>
                <c:pt idx="2">
                  <c:v>0</c:v>
                </c:pt>
                <c:pt idx="3">
                  <c:v>0</c:v>
                </c:pt>
              </c:numCache>
            </c:numRef>
          </c:val>
          <c:extLst>
            <c:ext xmlns:c16="http://schemas.microsoft.com/office/drawing/2014/chart" uri="{C3380CC4-5D6E-409C-BE32-E72D297353CC}">
              <c16:uniqueId val="{00000002-7437-4E12-A0EE-CEBB21B4FC72}"/>
            </c:ext>
          </c:extLst>
        </c:ser>
        <c:dLbls>
          <c:showLegendKey val="0"/>
          <c:showVal val="0"/>
          <c:showCatName val="0"/>
          <c:showSerName val="0"/>
          <c:showPercent val="0"/>
          <c:showBubbleSize val="0"/>
        </c:dLbls>
        <c:gapWidth val="219"/>
        <c:overlap val="-27"/>
        <c:axId val="26498320"/>
        <c:axId val="26505040"/>
      </c:barChart>
      <c:catAx>
        <c:axId val="2649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05040"/>
        <c:crosses val="autoZero"/>
        <c:auto val="1"/>
        <c:lblAlgn val="ctr"/>
        <c:lblOffset val="100"/>
        <c:noMultiLvlLbl val="0"/>
      </c:catAx>
      <c:valAx>
        <c:axId val="2650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8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FRAND offer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FromPython!$B$76</c:f>
              <c:strCache>
                <c:ptCount val="1"/>
                <c:pt idx="0">
                  <c:v>Yes</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FromPython!$A$77:$A$81</c15:sqref>
                  </c15:fullRef>
                </c:ext>
              </c:extLst>
              <c:f>FromPython!$A$78:$A$81</c:f>
              <c:strCache>
                <c:ptCount val="4"/>
                <c:pt idx="0">
                  <c:v>Yes</c:v>
                </c:pt>
                <c:pt idx="1">
                  <c:v>No</c:v>
                </c:pt>
                <c:pt idx="2">
                  <c:v>?</c:v>
                </c:pt>
                <c:pt idx="3">
                  <c:v>-</c:v>
                </c:pt>
              </c:strCache>
            </c:strRef>
          </c:cat>
          <c:val>
            <c:numRef>
              <c:extLst>
                <c:ext xmlns:c15="http://schemas.microsoft.com/office/drawing/2012/chart" uri="{02D57815-91ED-43cb-92C2-25804820EDAC}">
                  <c15:fullRef>
                    <c15:sqref>FromPython!$B$77:$B$81</c15:sqref>
                  </c15:fullRef>
                </c:ext>
              </c:extLst>
              <c:f>FromPython!$B$78:$B$81</c:f>
              <c:numCache>
                <c:formatCode>General</c:formatCode>
                <c:ptCount val="4"/>
                <c:pt idx="0">
                  <c:v>17</c:v>
                </c:pt>
                <c:pt idx="1">
                  <c:v>0</c:v>
                </c:pt>
                <c:pt idx="2">
                  <c:v>0</c:v>
                </c:pt>
                <c:pt idx="3">
                  <c:v>10</c:v>
                </c:pt>
              </c:numCache>
            </c:numRef>
          </c:val>
          <c:extLst>
            <c:ext xmlns:c16="http://schemas.microsoft.com/office/drawing/2014/chart" uri="{C3380CC4-5D6E-409C-BE32-E72D297353CC}">
              <c16:uniqueId val="{00000000-F7A0-41B9-938B-A6413F191F04}"/>
            </c:ext>
          </c:extLst>
        </c:ser>
        <c:ser>
          <c:idx val="1"/>
          <c:order val="1"/>
          <c:tx>
            <c:strRef>
              <c:f>FromPython!$C$76</c:f>
              <c:strCache>
                <c:ptCount val="1"/>
                <c:pt idx="0">
                  <c:v>No</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FromPython!$A$77:$A$81</c15:sqref>
                  </c15:fullRef>
                </c:ext>
              </c:extLst>
              <c:f>FromPython!$A$78:$A$81</c:f>
              <c:strCache>
                <c:ptCount val="4"/>
                <c:pt idx="0">
                  <c:v>Yes</c:v>
                </c:pt>
                <c:pt idx="1">
                  <c:v>No</c:v>
                </c:pt>
                <c:pt idx="2">
                  <c:v>?</c:v>
                </c:pt>
                <c:pt idx="3">
                  <c:v>-</c:v>
                </c:pt>
              </c:strCache>
            </c:strRef>
          </c:cat>
          <c:val>
            <c:numRef>
              <c:extLst>
                <c:ext xmlns:c15="http://schemas.microsoft.com/office/drawing/2012/chart" uri="{02D57815-91ED-43cb-92C2-25804820EDAC}">
                  <c15:fullRef>
                    <c15:sqref>FromPython!$C$77:$C$81</c15:sqref>
                  </c15:fullRef>
                </c:ext>
              </c:extLst>
              <c:f>FromPython!$C$78:$C$81</c:f>
              <c:numCache>
                <c:formatCode>General</c:formatCode>
                <c:ptCount val="4"/>
                <c:pt idx="0">
                  <c:v>0</c:v>
                </c:pt>
                <c:pt idx="1">
                  <c:v>15</c:v>
                </c:pt>
                <c:pt idx="2">
                  <c:v>0</c:v>
                </c:pt>
                <c:pt idx="3">
                  <c:v>2</c:v>
                </c:pt>
              </c:numCache>
            </c:numRef>
          </c:val>
          <c:extLst>
            <c:ext xmlns:c16="http://schemas.microsoft.com/office/drawing/2014/chart" uri="{C3380CC4-5D6E-409C-BE32-E72D297353CC}">
              <c16:uniqueId val="{00000001-F7A0-41B9-938B-A6413F191F04}"/>
            </c:ext>
          </c:extLst>
        </c:ser>
        <c:ser>
          <c:idx val="2"/>
          <c:order val="2"/>
          <c:tx>
            <c:strRef>
              <c:f>FromPython!$D$76</c:f>
              <c:strCache>
                <c:ptCount val="1"/>
                <c:pt idx="0">
                  <c:v>n./a.</c:v>
                </c:pt>
              </c:strCache>
            </c:strRef>
          </c:tx>
          <c:spPr>
            <a:solidFill>
              <a:schemeClr val="accent3"/>
            </a:solidFill>
            <a:ln>
              <a:noFill/>
            </a:ln>
            <a:effectLst/>
          </c:spPr>
          <c:invertIfNegative val="0"/>
          <c:cat>
            <c:strRef>
              <c:extLst>
                <c:ext xmlns:c15="http://schemas.microsoft.com/office/drawing/2012/chart" uri="{02D57815-91ED-43cb-92C2-25804820EDAC}">
                  <c15:fullRef>
                    <c15:sqref>FromPython!$A$77:$A$81</c15:sqref>
                  </c15:fullRef>
                </c:ext>
              </c:extLst>
              <c:f>FromPython!$A$78:$A$81</c:f>
              <c:strCache>
                <c:ptCount val="4"/>
                <c:pt idx="0">
                  <c:v>Yes</c:v>
                </c:pt>
                <c:pt idx="1">
                  <c:v>No</c:v>
                </c:pt>
                <c:pt idx="2">
                  <c:v>?</c:v>
                </c:pt>
                <c:pt idx="3">
                  <c:v>-</c:v>
                </c:pt>
              </c:strCache>
            </c:strRef>
          </c:cat>
          <c:val>
            <c:numRef>
              <c:extLst>
                <c:ext xmlns:c15="http://schemas.microsoft.com/office/drawing/2012/chart" uri="{02D57815-91ED-43cb-92C2-25804820EDAC}">
                  <c15:fullRef>
                    <c15:sqref>FromPython!$D$77:$D$81</c15:sqref>
                  </c15:fullRef>
                </c:ext>
              </c:extLst>
              <c:f>FromPython!$D$78:$D$81</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2-F7A0-41B9-938B-A6413F191F04}"/>
            </c:ext>
          </c:extLst>
        </c:ser>
        <c:dLbls>
          <c:showLegendKey val="0"/>
          <c:showVal val="0"/>
          <c:showCatName val="0"/>
          <c:showSerName val="0"/>
          <c:showPercent val="0"/>
          <c:showBubbleSize val="0"/>
        </c:dLbls>
        <c:gapWidth val="219"/>
        <c:overlap val="-27"/>
        <c:axId val="26534320"/>
        <c:axId val="26516080"/>
      </c:barChart>
      <c:catAx>
        <c:axId val="2653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6080"/>
        <c:crosses val="autoZero"/>
        <c:auto val="1"/>
        <c:lblAlgn val="ctr"/>
        <c:lblOffset val="100"/>
        <c:noMultiLvlLbl val="0"/>
      </c:catAx>
      <c:valAx>
        <c:axId val="26516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34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Formal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FromPython!$B$84</c:f>
              <c:strCache>
                <c:ptCount val="1"/>
                <c:pt idx="0">
                  <c:v>Yes</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FromPython!$A$85:$A$90</c15:sqref>
                  </c15:fullRef>
                </c:ext>
              </c:extLst>
              <c:f>FromPython!$A$86:$A$90</c:f>
              <c:strCache>
                <c:ptCount val="5"/>
                <c:pt idx="0">
                  <c:v>Yes</c:v>
                </c:pt>
                <c:pt idx="1">
                  <c:v>Yes?</c:v>
                </c:pt>
                <c:pt idx="2">
                  <c:v>No</c:v>
                </c:pt>
                <c:pt idx="3">
                  <c:v>?</c:v>
                </c:pt>
                <c:pt idx="4">
                  <c:v>-</c:v>
                </c:pt>
              </c:strCache>
            </c:strRef>
          </c:cat>
          <c:val>
            <c:numRef>
              <c:extLst>
                <c:ext xmlns:c15="http://schemas.microsoft.com/office/drawing/2012/chart" uri="{02D57815-91ED-43cb-92C2-25804820EDAC}">
                  <c15:fullRef>
                    <c15:sqref>FromPython!$B$85:$B$90</c15:sqref>
                  </c15:fullRef>
                </c:ext>
              </c:extLst>
              <c:f>FromPython!$B$86:$B$90</c:f>
              <c:numCache>
                <c:formatCode>General</c:formatCode>
                <c:ptCount val="5"/>
                <c:pt idx="0">
                  <c:v>16</c:v>
                </c:pt>
                <c:pt idx="1">
                  <c:v>0</c:v>
                </c:pt>
                <c:pt idx="2">
                  <c:v>0</c:v>
                </c:pt>
                <c:pt idx="3">
                  <c:v>1</c:v>
                </c:pt>
                <c:pt idx="4">
                  <c:v>10</c:v>
                </c:pt>
              </c:numCache>
            </c:numRef>
          </c:val>
          <c:extLst>
            <c:ext xmlns:c16="http://schemas.microsoft.com/office/drawing/2014/chart" uri="{C3380CC4-5D6E-409C-BE32-E72D297353CC}">
              <c16:uniqueId val="{00000000-2000-4852-A5C9-F470F8E2307D}"/>
            </c:ext>
          </c:extLst>
        </c:ser>
        <c:ser>
          <c:idx val="1"/>
          <c:order val="1"/>
          <c:tx>
            <c:strRef>
              <c:f>FromPython!$C$84</c:f>
              <c:strCache>
                <c:ptCount val="1"/>
                <c:pt idx="0">
                  <c:v>No</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FromPython!$A$85:$A$90</c15:sqref>
                  </c15:fullRef>
                </c:ext>
              </c:extLst>
              <c:f>FromPython!$A$86:$A$90</c:f>
              <c:strCache>
                <c:ptCount val="5"/>
                <c:pt idx="0">
                  <c:v>Yes</c:v>
                </c:pt>
                <c:pt idx="1">
                  <c:v>Yes?</c:v>
                </c:pt>
                <c:pt idx="2">
                  <c:v>No</c:v>
                </c:pt>
                <c:pt idx="3">
                  <c:v>?</c:v>
                </c:pt>
                <c:pt idx="4">
                  <c:v>-</c:v>
                </c:pt>
              </c:strCache>
            </c:strRef>
          </c:cat>
          <c:val>
            <c:numRef>
              <c:extLst>
                <c:ext xmlns:c15="http://schemas.microsoft.com/office/drawing/2012/chart" uri="{02D57815-91ED-43cb-92C2-25804820EDAC}">
                  <c15:fullRef>
                    <c15:sqref>FromPython!$C$85:$C$90</c15:sqref>
                  </c15:fullRef>
                </c:ext>
              </c:extLst>
              <c:f>FromPython!$C$86:$C$90</c:f>
              <c:numCache>
                <c:formatCode>General</c:formatCode>
                <c:ptCount val="5"/>
                <c:pt idx="0">
                  <c:v>0</c:v>
                </c:pt>
                <c:pt idx="1">
                  <c:v>3</c:v>
                </c:pt>
                <c:pt idx="2">
                  <c:v>11</c:v>
                </c:pt>
                <c:pt idx="3">
                  <c:v>1</c:v>
                </c:pt>
                <c:pt idx="4">
                  <c:v>2</c:v>
                </c:pt>
              </c:numCache>
            </c:numRef>
          </c:val>
          <c:extLst>
            <c:ext xmlns:c16="http://schemas.microsoft.com/office/drawing/2014/chart" uri="{C3380CC4-5D6E-409C-BE32-E72D297353CC}">
              <c16:uniqueId val="{00000001-2000-4852-A5C9-F470F8E2307D}"/>
            </c:ext>
          </c:extLst>
        </c:ser>
        <c:ser>
          <c:idx val="2"/>
          <c:order val="2"/>
          <c:tx>
            <c:strRef>
              <c:f>FromPython!$D$84</c:f>
              <c:strCache>
                <c:ptCount val="1"/>
                <c:pt idx="0">
                  <c:v>n./a.</c:v>
                </c:pt>
              </c:strCache>
            </c:strRef>
          </c:tx>
          <c:spPr>
            <a:solidFill>
              <a:schemeClr val="accent3"/>
            </a:solidFill>
            <a:ln>
              <a:noFill/>
            </a:ln>
            <a:effectLst/>
          </c:spPr>
          <c:invertIfNegative val="0"/>
          <c:cat>
            <c:strRef>
              <c:extLst>
                <c:ext xmlns:c15="http://schemas.microsoft.com/office/drawing/2012/chart" uri="{02D57815-91ED-43cb-92C2-25804820EDAC}">
                  <c15:fullRef>
                    <c15:sqref>FromPython!$A$85:$A$90</c15:sqref>
                  </c15:fullRef>
                </c:ext>
              </c:extLst>
              <c:f>FromPython!$A$86:$A$90</c:f>
              <c:strCache>
                <c:ptCount val="5"/>
                <c:pt idx="0">
                  <c:v>Yes</c:v>
                </c:pt>
                <c:pt idx="1">
                  <c:v>Yes?</c:v>
                </c:pt>
                <c:pt idx="2">
                  <c:v>No</c:v>
                </c:pt>
                <c:pt idx="3">
                  <c:v>?</c:v>
                </c:pt>
                <c:pt idx="4">
                  <c:v>-</c:v>
                </c:pt>
              </c:strCache>
            </c:strRef>
          </c:cat>
          <c:val>
            <c:numRef>
              <c:extLst>
                <c:ext xmlns:c15="http://schemas.microsoft.com/office/drawing/2012/chart" uri="{02D57815-91ED-43cb-92C2-25804820EDAC}">
                  <c15:fullRef>
                    <c15:sqref>FromPython!$D$85:$D$90</c15:sqref>
                  </c15:fullRef>
                </c:ext>
              </c:extLst>
              <c:f>FromPython!$D$86:$D$90</c:f>
              <c:numCache>
                <c:formatCode>General</c:formatCode>
                <c:ptCount val="5"/>
                <c:pt idx="0">
                  <c:v>0</c:v>
                </c:pt>
                <c:pt idx="1">
                  <c:v>0</c:v>
                </c:pt>
                <c:pt idx="2">
                  <c:v>0</c:v>
                </c:pt>
                <c:pt idx="3">
                  <c:v>1</c:v>
                </c:pt>
                <c:pt idx="4">
                  <c:v>0</c:v>
                </c:pt>
              </c:numCache>
            </c:numRef>
          </c:val>
          <c:extLst>
            <c:ext xmlns:c16="http://schemas.microsoft.com/office/drawing/2014/chart" uri="{C3380CC4-5D6E-409C-BE32-E72D297353CC}">
              <c16:uniqueId val="{00000002-2000-4852-A5C9-F470F8E2307D}"/>
            </c:ext>
          </c:extLst>
        </c:ser>
        <c:dLbls>
          <c:showLegendKey val="0"/>
          <c:showVal val="0"/>
          <c:showCatName val="0"/>
          <c:showSerName val="0"/>
          <c:showPercent val="0"/>
          <c:showBubbleSize val="0"/>
        </c:dLbls>
        <c:gapWidth val="219"/>
        <c:overlap val="-27"/>
        <c:axId val="26518960"/>
        <c:axId val="26497360"/>
      </c:barChart>
      <c:catAx>
        <c:axId val="2651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97360"/>
        <c:crosses val="autoZero"/>
        <c:auto val="1"/>
        <c:lblAlgn val="ctr"/>
        <c:lblOffset val="100"/>
        <c:noMultiLvlLbl val="0"/>
      </c:catAx>
      <c:valAx>
        <c:axId val="2649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18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of Substantially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FromPython!$B$93</c:f>
              <c:strCache>
                <c:ptCount val="1"/>
                <c:pt idx="0">
                  <c:v>Yes</c:v>
                </c:pt>
              </c:strCache>
            </c:strRef>
          </c:tx>
          <c:spPr>
            <a:solidFill>
              <a:schemeClr val="accent1"/>
            </a:solidFill>
            <a:ln>
              <a:noFill/>
            </a:ln>
            <a:effectLst/>
          </c:spPr>
          <c:invertIfNegative val="0"/>
          <c:cat>
            <c:strRef>
              <c:extLst>
                <c:ext xmlns:c15="http://schemas.microsoft.com/office/drawing/2012/chart" uri="{02D57815-91ED-43cb-92C2-25804820EDAC}">
                  <c15:fullRef>
                    <c15:sqref>FromPython!$A$94:$A$98</c15:sqref>
                  </c15:fullRef>
                </c:ext>
              </c:extLst>
              <c:f>FromPython!$A$95:$A$98</c:f>
              <c:strCache>
                <c:ptCount val="4"/>
                <c:pt idx="0">
                  <c:v>Yes</c:v>
                </c:pt>
                <c:pt idx="1">
                  <c:v>No</c:v>
                </c:pt>
                <c:pt idx="2">
                  <c:v>?</c:v>
                </c:pt>
                <c:pt idx="3">
                  <c:v>-</c:v>
                </c:pt>
              </c:strCache>
            </c:strRef>
          </c:cat>
          <c:val>
            <c:numRef>
              <c:extLst>
                <c:ext xmlns:c15="http://schemas.microsoft.com/office/drawing/2012/chart" uri="{02D57815-91ED-43cb-92C2-25804820EDAC}">
                  <c15:fullRef>
                    <c15:sqref>FromPython!$B$94:$B$98</c15:sqref>
                  </c15:fullRef>
                </c:ext>
              </c:extLst>
              <c:f>FromPython!$B$95:$B$98</c:f>
              <c:numCache>
                <c:formatCode>General</c:formatCode>
                <c:ptCount val="4"/>
                <c:pt idx="0">
                  <c:v>15</c:v>
                </c:pt>
                <c:pt idx="1">
                  <c:v>0</c:v>
                </c:pt>
                <c:pt idx="2">
                  <c:v>1</c:v>
                </c:pt>
                <c:pt idx="3">
                  <c:v>11</c:v>
                </c:pt>
              </c:numCache>
            </c:numRef>
          </c:val>
          <c:extLst>
            <c:ext xmlns:c16="http://schemas.microsoft.com/office/drawing/2014/chart" uri="{C3380CC4-5D6E-409C-BE32-E72D297353CC}">
              <c16:uniqueId val="{00000000-B4BD-47FA-9330-A6F42B5310B5}"/>
            </c:ext>
          </c:extLst>
        </c:ser>
        <c:ser>
          <c:idx val="1"/>
          <c:order val="1"/>
          <c:tx>
            <c:strRef>
              <c:f>FromPython!$C$93</c:f>
              <c:strCache>
                <c:ptCount val="1"/>
                <c:pt idx="0">
                  <c:v>No</c:v>
                </c:pt>
              </c:strCache>
            </c:strRef>
          </c:tx>
          <c:spPr>
            <a:solidFill>
              <a:schemeClr val="accent2"/>
            </a:solidFill>
            <a:ln>
              <a:noFill/>
            </a:ln>
            <a:effectLst/>
          </c:spPr>
          <c:invertIfNegative val="0"/>
          <c:cat>
            <c:strRef>
              <c:extLst>
                <c:ext xmlns:c15="http://schemas.microsoft.com/office/drawing/2012/chart" uri="{02D57815-91ED-43cb-92C2-25804820EDAC}">
                  <c15:fullRef>
                    <c15:sqref>FromPython!$A$94:$A$98</c15:sqref>
                  </c15:fullRef>
                </c:ext>
              </c:extLst>
              <c:f>FromPython!$A$95:$A$98</c:f>
              <c:strCache>
                <c:ptCount val="4"/>
                <c:pt idx="0">
                  <c:v>Yes</c:v>
                </c:pt>
                <c:pt idx="1">
                  <c:v>No</c:v>
                </c:pt>
                <c:pt idx="2">
                  <c:v>?</c:v>
                </c:pt>
                <c:pt idx="3">
                  <c:v>-</c:v>
                </c:pt>
              </c:strCache>
            </c:strRef>
          </c:cat>
          <c:val>
            <c:numRef>
              <c:extLst>
                <c:ext xmlns:c15="http://schemas.microsoft.com/office/drawing/2012/chart" uri="{02D57815-91ED-43cb-92C2-25804820EDAC}">
                  <c15:fullRef>
                    <c15:sqref>FromPython!$C$94:$C$98</c15:sqref>
                  </c15:fullRef>
                </c:ext>
              </c:extLst>
              <c:f>FromPython!$C$95:$C$98</c:f>
              <c:numCache>
                <c:formatCode>General</c:formatCode>
                <c:ptCount val="4"/>
                <c:pt idx="0">
                  <c:v>0</c:v>
                </c:pt>
                <c:pt idx="1">
                  <c:v>4</c:v>
                </c:pt>
                <c:pt idx="2">
                  <c:v>1</c:v>
                </c:pt>
                <c:pt idx="3">
                  <c:v>12</c:v>
                </c:pt>
              </c:numCache>
            </c:numRef>
          </c:val>
          <c:extLst>
            <c:ext xmlns:c16="http://schemas.microsoft.com/office/drawing/2014/chart" uri="{C3380CC4-5D6E-409C-BE32-E72D297353CC}">
              <c16:uniqueId val="{00000001-B4BD-47FA-9330-A6F42B5310B5}"/>
            </c:ext>
          </c:extLst>
        </c:ser>
        <c:ser>
          <c:idx val="2"/>
          <c:order val="2"/>
          <c:tx>
            <c:strRef>
              <c:f>FromPython!$D$93</c:f>
              <c:strCache>
                <c:ptCount val="1"/>
                <c:pt idx="0">
                  <c:v>n./a.</c:v>
                </c:pt>
              </c:strCache>
            </c:strRef>
          </c:tx>
          <c:spPr>
            <a:solidFill>
              <a:schemeClr val="accent3"/>
            </a:solidFill>
            <a:ln>
              <a:noFill/>
            </a:ln>
            <a:effectLst/>
          </c:spPr>
          <c:invertIfNegative val="0"/>
          <c:cat>
            <c:strRef>
              <c:extLst>
                <c:ext xmlns:c15="http://schemas.microsoft.com/office/drawing/2012/chart" uri="{02D57815-91ED-43cb-92C2-25804820EDAC}">
                  <c15:fullRef>
                    <c15:sqref>FromPython!$A$94:$A$98</c15:sqref>
                  </c15:fullRef>
                </c:ext>
              </c:extLst>
              <c:f>FromPython!$A$95:$A$98</c:f>
              <c:strCache>
                <c:ptCount val="4"/>
                <c:pt idx="0">
                  <c:v>Yes</c:v>
                </c:pt>
                <c:pt idx="1">
                  <c:v>No</c:v>
                </c:pt>
                <c:pt idx="2">
                  <c:v>?</c:v>
                </c:pt>
                <c:pt idx="3">
                  <c:v>-</c:v>
                </c:pt>
              </c:strCache>
            </c:strRef>
          </c:cat>
          <c:val>
            <c:numRef>
              <c:extLst>
                <c:ext xmlns:c15="http://schemas.microsoft.com/office/drawing/2012/chart" uri="{02D57815-91ED-43cb-92C2-25804820EDAC}">
                  <c15:fullRef>
                    <c15:sqref>FromPython!$D$94:$D$98</c15:sqref>
                  </c15:fullRef>
                </c:ext>
              </c:extLst>
              <c:f>FromPython!$D$95:$D$98</c:f>
              <c:numCache>
                <c:formatCode>General</c:formatCode>
                <c:ptCount val="4"/>
                <c:pt idx="0">
                  <c:v>0</c:v>
                </c:pt>
                <c:pt idx="1">
                  <c:v>0</c:v>
                </c:pt>
                <c:pt idx="2">
                  <c:v>1</c:v>
                </c:pt>
                <c:pt idx="3">
                  <c:v>0</c:v>
                </c:pt>
              </c:numCache>
            </c:numRef>
          </c:val>
          <c:extLst>
            <c:ext xmlns:c16="http://schemas.microsoft.com/office/drawing/2014/chart" uri="{C3380CC4-5D6E-409C-BE32-E72D297353CC}">
              <c16:uniqueId val="{00000002-B4BD-47FA-9330-A6F42B5310B5}"/>
            </c:ext>
          </c:extLst>
        </c:ser>
        <c:dLbls>
          <c:showLegendKey val="0"/>
          <c:showVal val="0"/>
          <c:showCatName val="0"/>
          <c:showSerName val="0"/>
          <c:showPercent val="0"/>
          <c:showBubbleSize val="0"/>
        </c:dLbls>
        <c:gapWidth val="219"/>
        <c:overlap val="-27"/>
        <c:axId val="32821216"/>
        <c:axId val="32816416"/>
      </c:barChart>
      <c:catAx>
        <c:axId val="3282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6416"/>
        <c:crosses val="autoZero"/>
        <c:auto val="1"/>
        <c:lblAlgn val="ctr"/>
        <c:lblOffset val="100"/>
        <c:noMultiLvlLbl val="0"/>
      </c:catAx>
      <c:valAx>
        <c:axId val="3281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21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4"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5" Type="http://schemas.openxmlformats.org/officeDocument/2006/relationships/chart" Target="../charts/chart24.xml"/><Relationship Id="rId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0</xdr:col>
      <xdr:colOff>148590</xdr:colOff>
      <xdr:row>4</xdr:row>
      <xdr:rowOff>168592</xdr:rowOff>
    </xdr:from>
    <xdr:to>
      <xdr:col>7</xdr:col>
      <xdr:colOff>281940</xdr:colOff>
      <xdr:row>20</xdr:row>
      <xdr:rowOff>16192</xdr:rowOff>
    </xdr:to>
    <xdr:graphicFrame macro="">
      <xdr:nvGraphicFramePr>
        <xdr:cNvPr id="2" name="Chart 1">
          <a:extLst>
            <a:ext uri="{FF2B5EF4-FFF2-40B4-BE49-F238E27FC236}">
              <a16:creationId xmlns:a16="http://schemas.microsoft.com/office/drawing/2014/main" id="{B5CB4AC6-26B7-C4DC-14B1-4D8A47B45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24765</xdr:colOff>
      <xdr:row>12</xdr:row>
      <xdr:rowOff>16192</xdr:rowOff>
    </xdr:from>
    <xdr:to>
      <xdr:col>14</xdr:col>
      <xdr:colOff>581025</xdr:colOff>
      <xdr:row>27</xdr:row>
      <xdr:rowOff>44767</xdr:rowOff>
    </xdr:to>
    <xdr:graphicFrame macro="">
      <xdr:nvGraphicFramePr>
        <xdr:cNvPr id="3" name="Chart 2">
          <a:extLst>
            <a:ext uri="{FF2B5EF4-FFF2-40B4-BE49-F238E27FC236}">
              <a16:creationId xmlns:a16="http://schemas.microsoft.com/office/drawing/2014/main" id="{CF0504CF-2A87-E636-D2F1-D43653243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10477</xdr:colOff>
      <xdr:row>5</xdr:row>
      <xdr:rowOff>8572</xdr:rowOff>
    </xdr:from>
    <xdr:to>
      <xdr:col>21</xdr:col>
      <xdr:colOff>574357</xdr:colOff>
      <xdr:row>20</xdr:row>
      <xdr:rowOff>35242</xdr:rowOff>
    </xdr:to>
    <xdr:graphicFrame macro="">
      <xdr:nvGraphicFramePr>
        <xdr:cNvPr id="4" name="Chart 3">
          <a:extLst>
            <a:ext uri="{FF2B5EF4-FFF2-40B4-BE49-F238E27FC236}">
              <a16:creationId xmlns:a16="http://schemas.microsoft.com/office/drawing/2014/main" id="{B53800A1-B4B9-430A-B878-A17ACAE01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153352</xdr:colOff>
      <xdr:row>5</xdr:row>
      <xdr:rowOff>21907</xdr:rowOff>
    </xdr:from>
    <xdr:to>
      <xdr:col>29</xdr:col>
      <xdr:colOff>465772</xdr:colOff>
      <xdr:row>20</xdr:row>
      <xdr:rowOff>58102</xdr:rowOff>
    </xdr:to>
    <xdr:graphicFrame macro="">
      <xdr:nvGraphicFramePr>
        <xdr:cNvPr id="5" name="Chart 4">
          <a:extLst>
            <a:ext uri="{FF2B5EF4-FFF2-40B4-BE49-F238E27FC236}">
              <a16:creationId xmlns:a16="http://schemas.microsoft.com/office/drawing/2014/main" id="{6DDCFF84-1CFB-ADA8-D68A-F25932D3D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0</xdr:colOff>
      <xdr:row>6</xdr:row>
      <xdr:rowOff>178117</xdr:rowOff>
    </xdr:from>
    <xdr:to>
      <xdr:col>43</xdr:col>
      <xdr:colOff>125730</xdr:colOff>
      <xdr:row>22</xdr:row>
      <xdr:rowOff>25717</xdr:rowOff>
    </xdr:to>
    <xdr:graphicFrame macro="">
      <xdr:nvGraphicFramePr>
        <xdr:cNvPr id="6" name="Chart 5">
          <a:extLst>
            <a:ext uri="{FF2B5EF4-FFF2-40B4-BE49-F238E27FC236}">
              <a16:creationId xmlns:a16="http://schemas.microsoft.com/office/drawing/2014/main" id="{75F924FA-DC6B-F84A-933D-050F35E18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28575</xdr:colOff>
      <xdr:row>7</xdr:row>
      <xdr:rowOff>130492</xdr:rowOff>
    </xdr:from>
    <xdr:to>
      <xdr:col>25</xdr:col>
      <xdr:colOff>428625</xdr:colOff>
      <xdr:row>22</xdr:row>
      <xdr:rowOff>159067</xdr:rowOff>
    </xdr:to>
    <xdr:graphicFrame macro="">
      <xdr:nvGraphicFramePr>
        <xdr:cNvPr id="2" name="Chart 1">
          <a:extLst>
            <a:ext uri="{FF2B5EF4-FFF2-40B4-BE49-F238E27FC236}">
              <a16:creationId xmlns:a16="http://schemas.microsoft.com/office/drawing/2014/main" id="{DE6F6C6A-C2B0-478B-4B2C-B7CAE3D7D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601980</xdr:colOff>
      <xdr:row>7</xdr:row>
      <xdr:rowOff>159067</xdr:rowOff>
    </xdr:from>
    <xdr:to>
      <xdr:col>33</xdr:col>
      <xdr:colOff>392430</xdr:colOff>
      <xdr:row>23</xdr:row>
      <xdr:rowOff>6667</xdr:rowOff>
    </xdr:to>
    <xdr:graphicFrame macro="">
      <xdr:nvGraphicFramePr>
        <xdr:cNvPr id="3" name="Chart 2">
          <a:extLst>
            <a:ext uri="{FF2B5EF4-FFF2-40B4-BE49-F238E27FC236}">
              <a16:creationId xmlns:a16="http://schemas.microsoft.com/office/drawing/2014/main" id="{7EF6E7A5-1345-2E38-8881-AFB47E42F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34</xdr:col>
      <xdr:colOff>15240</xdr:colOff>
      <xdr:row>8</xdr:row>
      <xdr:rowOff>12382</xdr:rowOff>
    </xdr:from>
    <xdr:to>
      <xdr:col>41</xdr:col>
      <xdr:colOff>323850</xdr:colOff>
      <xdr:row>23</xdr:row>
      <xdr:rowOff>40957</xdr:rowOff>
    </xdr:to>
    <xdr:graphicFrame macro="">
      <xdr:nvGraphicFramePr>
        <xdr:cNvPr id="4" name="Chart 3">
          <a:extLst>
            <a:ext uri="{FF2B5EF4-FFF2-40B4-BE49-F238E27FC236}">
              <a16:creationId xmlns:a16="http://schemas.microsoft.com/office/drawing/2014/main" id="{0B731F7C-E529-B3E0-29D3-74B895874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609599</xdr:colOff>
      <xdr:row>33</xdr:row>
      <xdr:rowOff>0</xdr:rowOff>
    </xdr:from>
    <xdr:to>
      <xdr:col>34</xdr:col>
      <xdr:colOff>161924</xdr:colOff>
      <xdr:row>49</xdr:row>
      <xdr:rowOff>171450</xdr:rowOff>
    </xdr:to>
    <xdr:graphicFrame macro="">
      <xdr:nvGraphicFramePr>
        <xdr:cNvPr id="5" name="Chart 4">
          <a:extLst>
            <a:ext uri="{FF2B5EF4-FFF2-40B4-BE49-F238E27FC236}">
              <a16:creationId xmlns:a16="http://schemas.microsoft.com/office/drawing/2014/main" id="{FF123A06-A478-4783-A4DD-237C94480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19050</xdr:colOff>
      <xdr:row>59</xdr:row>
      <xdr:rowOff>133350</xdr:rowOff>
    </xdr:from>
    <xdr:to>
      <xdr:col>34</xdr:col>
      <xdr:colOff>180975</xdr:colOff>
      <xdr:row>76</xdr:row>
      <xdr:rowOff>114300</xdr:rowOff>
    </xdr:to>
    <xdr:graphicFrame macro="">
      <xdr:nvGraphicFramePr>
        <xdr:cNvPr id="6" name="Chart 5">
          <a:extLst>
            <a:ext uri="{FF2B5EF4-FFF2-40B4-BE49-F238E27FC236}">
              <a16:creationId xmlns:a16="http://schemas.microsoft.com/office/drawing/2014/main" id="{BFCC5726-CF0E-40F8-A911-80E75A6B1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18</xdr:col>
      <xdr:colOff>306705</xdr:colOff>
      <xdr:row>9</xdr:row>
      <xdr:rowOff>6667</xdr:rowOff>
    </xdr:from>
    <xdr:to>
      <xdr:col>22</xdr:col>
      <xdr:colOff>720090</xdr:colOff>
      <xdr:row>24</xdr:row>
      <xdr:rowOff>35242</xdr:rowOff>
    </xdr:to>
    <xdr:graphicFrame macro="">
      <xdr:nvGraphicFramePr>
        <xdr:cNvPr id="2" name="Chart 1">
          <a:extLst>
            <a:ext uri="{FF2B5EF4-FFF2-40B4-BE49-F238E27FC236}">
              <a16:creationId xmlns:a16="http://schemas.microsoft.com/office/drawing/2014/main" id="{135332DF-D4F1-A53E-DA79-8993E89FF4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392430</xdr:colOff>
      <xdr:row>31</xdr:row>
      <xdr:rowOff>58102</xdr:rowOff>
    </xdr:from>
    <xdr:to>
      <xdr:col>22</xdr:col>
      <xdr:colOff>819150</xdr:colOff>
      <xdr:row>46</xdr:row>
      <xdr:rowOff>88582</xdr:rowOff>
    </xdr:to>
    <xdr:graphicFrame macro="">
      <xdr:nvGraphicFramePr>
        <xdr:cNvPr id="3" name="Chart 2">
          <a:extLst>
            <a:ext uri="{FF2B5EF4-FFF2-40B4-BE49-F238E27FC236}">
              <a16:creationId xmlns:a16="http://schemas.microsoft.com/office/drawing/2014/main" id="{FA137B34-C5C8-85B5-3918-31FE58807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619125</xdr:colOff>
      <xdr:row>4</xdr:row>
      <xdr:rowOff>159067</xdr:rowOff>
    </xdr:from>
    <xdr:to>
      <xdr:col>28</xdr:col>
      <xdr:colOff>729615</xdr:colOff>
      <xdr:row>20</xdr:row>
      <xdr:rowOff>6667</xdr:rowOff>
    </xdr:to>
    <xdr:graphicFrame macro="">
      <xdr:nvGraphicFramePr>
        <xdr:cNvPr id="6" name="Chart 5">
          <a:extLst>
            <a:ext uri="{FF2B5EF4-FFF2-40B4-BE49-F238E27FC236}">
              <a16:creationId xmlns:a16="http://schemas.microsoft.com/office/drawing/2014/main" id="{EA4BC24E-2C43-A425-BE14-CBF2914D9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401002</xdr:colOff>
      <xdr:row>4</xdr:row>
      <xdr:rowOff>44767</xdr:rowOff>
    </xdr:from>
    <xdr:to>
      <xdr:col>32</xdr:col>
      <xdr:colOff>1201102</xdr:colOff>
      <xdr:row>19</xdr:row>
      <xdr:rowOff>73342</xdr:rowOff>
    </xdr:to>
    <xdr:graphicFrame macro="">
      <xdr:nvGraphicFramePr>
        <xdr:cNvPr id="8" name="Chart 7">
          <a:extLst>
            <a:ext uri="{FF2B5EF4-FFF2-40B4-BE49-F238E27FC236}">
              <a16:creationId xmlns:a16="http://schemas.microsoft.com/office/drawing/2014/main" id="{432A4D03-7BF8-6912-3DD4-5BCDF4D95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178117</xdr:colOff>
      <xdr:row>27</xdr:row>
      <xdr:rowOff>8572</xdr:rowOff>
    </xdr:from>
    <xdr:to>
      <xdr:col>32</xdr:col>
      <xdr:colOff>968692</xdr:colOff>
      <xdr:row>42</xdr:row>
      <xdr:rowOff>35242</xdr:rowOff>
    </xdr:to>
    <xdr:graphicFrame macro="">
      <xdr:nvGraphicFramePr>
        <xdr:cNvPr id="11" name="Chart 10">
          <a:extLst>
            <a:ext uri="{FF2B5EF4-FFF2-40B4-BE49-F238E27FC236}">
              <a16:creationId xmlns:a16="http://schemas.microsoft.com/office/drawing/2014/main" id="{FCA41BD2-2999-698A-0508-D98D0A56C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6</xdr:row>
      <xdr:rowOff>56197</xdr:rowOff>
    </xdr:from>
    <xdr:to>
      <xdr:col>4</xdr:col>
      <xdr:colOff>476250</xdr:colOff>
      <xdr:row>21</xdr:row>
      <xdr:rowOff>82867</xdr:rowOff>
    </xdr:to>
    <xdr:graphicFrame macro="">
      <xdr:nvGraphicFramePr>
        <xdr:cNvPr id="2" name="Chart 1">
          <a:extLst>
            <a:ext uri="{FF2B5EF4-FFF2-40B4-BE49-F238E27FC236}">
              <a16:creationId xmlns:a16="http://schemas.microsoft.com/office/drawing/2014/main" id="{6CDFBF04-2944-5746-DF5F-4AA460363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951</xdr:colOff>
      <xdr:row>6</xdr:row>
      <xdr:rowOff>84771</xdr:rowOff>
    </xdr:from>
    <xdr:to>
      <xdr:col>14</xdr:col>
      <xdr:colOff>390524</xdr:colOff>
      <xdr:row>22</xdr:row>
      <xdr:rowOff>9524</xdr:rowOff>
    </xdr:to>
    <xdr:graphicFrame macro="">
      <xdr:nvGraphicFramePr>
        <xdr:cNvPr id="3" name="Chart 2">
          <a:extLst>
            <a:ext uri="{FF2B5EF4-FFF2-40B4-BE49-F238E27FC236}">
              <a16:creationId xmlns:a16="http://schemas.microsoft.com/office/drawing/2014/main" id="{F5814D24-F2F4-EF5B-CA6C-41A29823D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0</xdr:rowOff>
    </xdr:from>
    <xdr:to>
      <xdr:col>4</xdr:col>
      <xdr:colOff>476250</xdr:colOff>
      <xdr:row>45</xdr:row>
      <xdr:rowOff>26670</xdr:rowOff>
    </xdr:to>
    <xdr:graphicFrame macro="">
      <xdr:nvGraphicFramePr>
        <xdr:cNvPr id="4" name="Chart 3">
          <a:extLst>
            <a:ext uri="{FF2B5EF4-FFF2-40B4-BE49-F238E27FC236}">
              <a16:creationId xmlns:a16="http://schemas.microsoft.com/office/drawing/2014/main" id="{678365A7-D243-48D2-A1C8-002F203FA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30</xdr:row>
      <xdr:rowOff>0</xdr:rowOff>
    </xdr:from>
    <xdr:to>
      <xdr:col>14</xdr:col>
      <xdr:colOff>389573</xdr:colOff>
      <xdr:row>45</xdr:row>
      <xdr:rowOff>115253</xdr:rowOff>
    </xdr:to>
    <xdr:graphicFrame macro="">
      <xdr:nvGraphicFramePr>
        <xdr:cNvPr id="5" name="Chart 4">
          <a:extLst>
            <a:ext uri="{FF2B5EF4-FFF2-40B4-BE49-F238E27FC236}">
              <a16:creationId xmlns:a16="http://schemas.microsoft.com/office/drawing/2014/main" id="{D59B8ADF-A33E-4393-8207-2D7DF884F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72390</xdr:colOff>
      <xdr:row>39</xdr:row>
      <xdr:rowOff>113347</xdr:rowOff>
    </xdr:from>
    <xdr:to>
      <xdr:col>14</xdr:col>
      <xdr:colOff>377190</xdr:colOff>
      <xdr:row>54</xdr:row>
      <xdr:rowOff>141922</xdr:rowOff>
    </xdr:to>
    <xdr:graphicFrame macro="">
      <xdr:nvGraphicFramePr>
        <xdr:cNvPr id="4" name="Chart 3">
          <a:extLst>
            <a:ext uri="{FF2B5EF4-FFF2-40B4-BE49-F238E27FC236}">
              <a16:creationId xmlns:a16="http://schemas.microsoft.com/office/drawing/2014/main" id="{59673F53-3825-2789-B66E-1445EBBC8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952</xdr:colOff>
      <xdr:row>42</xdr:row>
      <xdr:rowOff>120967</xdr:rowOff>
    </xdr:from>
    <xdr:to>
      <xdr:col>22</xdr:col>
      <xdr:colOff>305752</xdr:colOff>
      <xdr:row>57</xdr:row>
      <xdr:rowOff>145732</xdr:rowOff>
    </xdr:to>
    <xdr:graphicFrame macro="">
      <xdr:nvGraphicFramePr>
        <xdr:cNvPr id="6" name="Chart 5">
          <a:extLst>
            <a:ext uri="{FF2B5EF4-FFF2-40B4-BE49-F238E27FC236}">
              <a16:creationId xmlns:a16="http://schemas.microsoft.com/office/drawing/2014/main" id="{1BA7981C-CD9D-E9A8-633F-B6ADA6704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39052</xdr:colOff>
      <xdr:row>56</xdr:row>
      <xdr:rowOff>29527</xdr:rowOff>
    </xdr:from>
    <xdr:to>
      <xdr:col>14</xdr:col>
      <xdr:colOff>343852</xdr:colOff>
      <xdr:row>71</xdr:row>
      <xdr:rowOff>56197</xdr:rowOff>
    </xdr:to>
    <xdr:graphicFrame macro="">
      <xdr:nvGraphicFramePr>
        <xdr:cNvPr id="7" name="Chart 6">
          <a:extLst>
            <a:ext uri="{FF2B5EF4-FFF2-40B4-BE49-F238E27FC236}">
              <a16:creationId xmlns:a16="http://schemas.microsoft.com/office/drawing/2014/main" id="{F0BCB82E-09E4-A803-EBA2-F5EA70958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67627</xdr:colOff>
      <xdr:row>60</xdr:row>
      <xdr:rowOff>16192</xdr:rowOff>
    </xdr:from>
    <xdr:to>
      <xdr:col>22</xdr:col>
      <xdr:colOff>372427</xdr:colOff>
      <xdr:row>75</xdr:row>
      <xdr:rowOff>44767</xdr:rowOff>
    </xdr:to>
    <xdr:graphicFrame macro="">
      <xdr:nvGraphicFramePr>
        <xdr:cNvPr id="8" name="Chart 7">
          <a:extLst>
            <a:ext uri="{FF2B5EF4-FFF2-40B4-BE49-F238E27FC236}">
              <a16:creationId xmlns:a16="http://schemas.microsoft.com/office/drawing/2014/main" id="{43D4A689-5BF0-537E-246E-9E377BE3B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10477</xdr:colOff>
      <xdr:row>72</xdr:row>
      <xdr:rowOff>130492</xdr:rowOff>
    </xdr:from>
    <xdr:to>
      <xdr:col>14</xdr:col>
      <xdr:colOff>315277</xdr:colOff>
      <xdr:row>87</xdr:row>
      <xdr:rowOff>159067</xdr:rowOff>
    </xdr:to>
    <xdr:graphicFrame macro="">
      <xdr:nvGraphicFramePr>
        <xdr:cNvPr id="9" name="Chart 8">
          <a:extLst>
            <a:ext uri="{FF2B5EF4-FFF2-40B4-BE49-F238E27FC236}">
              <a16:creationId xmlns:a16="http://schemas.microsoft.com/office/drawing/2014/main" id="{F9602D94-CC62-02FC-4580-93842A4FD5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86677</xdr:colOff>
      <xdr:row>76</xdr:row>
      <xdr:rowOff>149542</xdr:rowOff>
    </xdr:from>
    <xdr:to>
      <xdr:col>22</xdr:col>
      <xdr:colOff>391477</xdr:colOff>
      <xdr:row>91</xdr:row>
      <xdr:rowOff>178117</xdr:rowOff>
    </xdr:to>
    <xdr:graphicFrame macro="">
      <xdr:nvGraphicFramePr>
        <xdr:cNvPr id="10" name="Chart 9">
          <a:extLst>
            <a:ext uri="{FF2B5EF4-FFF2-40B4-BE49-F238E27FC236}">
              <a16:creationId xmlns:a16="http://schemas.microsoft.com/office/drawing/2014/main" id="{32C64808-184D-994D-F3A6-5245472D4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48577</xdr:colOff>
      <xdr:row>89</xdr:row>
      <xdr:rowOff>111442</xdr:rowOff>
    </xdr:from>
    <xdr:to>
      <xdr:col>14</xdr:col>
      <xdr:colOff>353377</xdr:colOff>
      <xdr:row>104</xdr:row>
      <xdr:rowOff>140017</xdr:rowOff>
    </xdr:to>
    <xdr:graphicFrame macro="">
      <xdr:nvGraphicFramePr>
        <xdr:cNvPr id="11" name="Chart 10">
          <a:extLst>
            <a:ext uri="{FF2B5EF4-FFF2-40B4-BE49-F238E27FC236}">
              <a16:creationId xmlns:a16="http://schemas.microsoft.com/office/drawing/2014/main" id="{1757D9B1-61F6-D934-7A95-2286571A7C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antiago Marcelo Bergallo" id="{93238EA4-A97E-43A0-A9D2-13620007081D}" userId="321b6dccdbf057a5"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2" dT="2023-11-08T18:29:21.24" personId="{93238EA4-A97E-43A0-A9D2-13620007081D}" id="{68683FAF-6902-4739-9C43-5E23525A77C4}">
    <text>.44</text>
  </threadedComment>
  <threadedComment ref="AA2" dT="2023-11-08T19:00:06.94" personId="{93238EA4-A97E-43A0-A9D2-13620007081D}" id="{3470D684-2D38-40DB-B07C-16F4DCD993B5}">
    <text>.202
.209</text>
  </threadedComment>
  <threadedComment ref="AE2" dT="2023-11-10T16:13:56.65" personId="{93238EA4-A97E-43A0-A9D2-13620007081D}" id="{D2A6A6EC-60D0-4E9C-8A71-DFDC40D27D94}">
    <text xml:space="preserve">.44
Der Konzern, dem die Beklagten angehören, ist Lizenznehmer verschiedener Lizenzpools der Klägerin, welche sich auf andere Technologien beziehen </text>
  </threadedComment>
  <threadedComment ref="AF2" dT="2023-11-10T16:20:14.54" personId="{93238EA4-A97E-43A0-A9D2-13620007081D}" id="{BED8DC7C-E9BE-4198-939B-2853AEBFEF92}">
    <text>.52?
.196</text>
  </threadedComment>
  <threadedComment ref="AA3" dT="2023-11-09T00:56:22.16" personId="{93238EA4-A97E-43A0-A9D2-13620007081D}" id="{CA92E017-EE11-4A4B-8C3D-71DA7E01AB86}">
    <text>.127</text>
  </threadedComment>
  <threadedComment ref="AB4" dT="2023-11-10T22:03:29.88" personId="{93238EA4-A97E-43A0-A9D2-13620007081D}" id="{0DFDBF7D-4576-4D40-BB3C-6D3AD471F9AF}">
    <text>.381</text>
  </threadedComment>
  <threadedComment ref="AD4" dT="2023-11-10T22:03:38.96" personId="{93238EA4-A97E-43A0-A9D2-13620007081D}" id="{7246E727-8C90-4EAB-8B2C-099DB8C51FAC}">
    <text>.381</text>
  </threadedComment>
  <threadedComment ref="AE4" dT="2023-11-10T21:49:04.76" personId="{93238EA4-A97E-43A0-A9D2-13620007081D}" id="{43D1B7D6-50A8-4C63-A17C-93FC8E001EFE}">
    <text>.24
.69
.293</text>
  </threadedComment>
  <threadedComment ref="AF4" dT="2023-11-10T22:03:21.86" personId="{93238EA4-A97E-43A0-A9D2-13620007081D}" id="{2C0CC7B4-D3E1-4587-ACF2-82A89FD98B3B}">
    <text>.381</text>
  </threadedComment>
  <threadedComment ref="Y6" dT="2023-11-10T16:39:57.82" personId="{93238EA4-A97E-43A0-A9D2-13620007081D}" id="{8FD64839-F6B1-4B4C-BC26-2DC157854487}">
    <text>.122
.412
v
.351</text>
  </threadedComment>
  <threadedComment ref="AA6" dT="2023-11-10T12:37:12.16" personId="{93238EA4-A97E-43A0-A9D2-13620007081D}" id="{398420A9-B0D4-4B87-8B9A-2ADBE40B5A2E}">
    <text>.38?</text>
  </threadedComment>
  <threadedComment ref="AF6" dT="2023-11-10T17:11:10.66" personId="{93238EA4-A97E-43A0-A9D2-13620007081D}" id="{091CE245-E7C0-4CC5-B8EA-602088FFDB39}">
    <text>.27
.39</text>
  </threadedComment>
  <threadedComment ref="Q11" dT="2023-10-08T16:14:54.91" personId="{93238EA4-A97E-43A0-A9D2-13620007081D}" id="{5F622325-1668-4B0C-88F4-BD23C0FDC861}">
    <text>Check</text>
  </threadedComment>
  <threadedComment ref="D14" dT="2023-10-10T09:24:45.88" personId="{93238EA4-A97E-43A0-A9D2-13620007081D}" id="{5A6B5AF9-3BD9-4DF5-B7AC-6A79DE8B3E47}">
    <text>Apparently comes from a previous settelement where an injunction was asserted</text>
  </threadedComment>
  <threadedComment ref="E14" dT="2023-10-10T09:25:17.72" personId="{93238EA4-A97E-43A0-A9D2-13620007081D}" id="{939F768B-E1DD-4BED-AE20-BFCC197C0BDC}">
    <text xml:space="preserve">Die Klägerin macht – nachdem die Parteien den Rechtsstreit übereinstimmend im Hinblick auf den ursprünglich auch geltend gemachten Unterlassungsanspruch teilweise für erledigt erklärt haben – </text>
  </threadedComment>
  <threadedComment ref="Q14" dT="2023-10-08T16:15:33.03" personId="{93238EA4-A97E-43A0-A9D2-13620007081D}" id="{C75399C7-5221-4001-A692-F2C4C8BD08A8}">
    <text>check</text>
  </threadedComment>
  <threadedComment ref="Q14" dT="2023-10-10T09:27:52.13" personId="{93238EA4-A97E-43A0-A9D2-13620007081D}" id="{C78B94EF-762B-4A07-A89D-EB90425D8803}" parentId="{C75399C7-5221-4001-A692-F2C4C8BD08A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E18" dT="2023-10-10T09:21:19.54" personId="{93238EA4-A97E-43A0-A9D2-13620007081D}" id="{A6C82DAB-099D-4B0B-901F-EF9DD10C100C}">
    <text>Das Verfahren wird ausgesetzt.</text>
  </threadedComment>
  <threadedComment ref="D26" dT="2023-10-10T10:03:19.74" personId="{93238EA4-A97E-43A0-A9D2-13620007081D}" id="{27E305CC-31F0-421D-BA62-F30A77D37B6F}">
    <text>_Kather</text>
  </threadedComment>
  <threadedComment ref="E26" dT="2023-10-10T10:02:41.27" personId="{93238EA4-A97E-43A0-A9D2-13620007081D}" id="{1374D6B2-0C32-4FDA-AF13-C5F14B6649F7}">
    <text xml:space="preserve">BEIM FRAND-EINWAND </text>
  </threadedComment>
  <threadedComment ref="E26" dT="2023-10-10T10:03:36.65" personId="{93238EA4-A97E-43A0-A9D2-13620007081D}" id="{7FB54E64-9DA7-47DF-9098-2396ADE88039}" parentId="{1374D6B2-0C32-4FDA-AF13-C5F14B6649F7}">
    <text>(NO Kather version)</text>
  </threadedComment>
  <threadedComment ref="E27" dT="2023-10-10T10:11:20.41" personId="{93238EA4-A97E-43A0-A9D2-13620007081D}" id="{C98E37CD-7F9C-4249-86DA-2C0D3FAAEB35}">
    <text>Mentions of Patent Holder position and maybe FRAND-Einwand</text>
  </threadedComment>
  <threadedComment ref="E27" dT="2023-10-10T10:11:32.50" personId="{93238EA4-A97E-43A0-A9D2-13620007081D}" id="{CA061D90-674D-4C5A-8F22-8FB5C2D1BD28}" parentId="{C98E37CD-7F9C-4249-86DA-2C0D3FAAEB35}">
    <text>[…] mangels Lizenzwilligkeit kein FRAND-Einwand zu</text>
  </threadedComment>
  <threadedComment ref="E27" dT="2023-10-10T10:11:49.37" personId="{93238EA4-A97E-43A0-A9D2-13620007081D}" id="{5109F03E-4489-496F-A00B-D7E9DD270E73}" parentId="{C98E37CD-7F9C-4249-86DA-2C0D3FAAEB3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N30" dT="2023-10-08T13:12:18.63" personId="{93238EA4-A97E-43A0-A9D2-13620007081D}" id="{BE0D622D-1F5A-44BB-9DEA-13F3D62F6F74}">
    <text>25.02.2021</text>
  </threadedComment>
</ThreadedComments>
</file>

<file path=xl/threadedComments/threadedComment2.xml><?xml version="1.0" encoding="utf-8"?>
<ThreadedComments xmlns="http://schemas.microsoft.com/office/spreadsheetml/2018/threadedcomments" xmlns:x="http://schemas.openxmlformats.org/spreadsheetml/2006/main">
  <threadedComment ref="D2" dT="2023-10-10T13:00:23.57" personId="{93238EA4-A97E-43A0-A9D2-13620007081D}" id="{0B53F71B-9D33-4B8B-A9E9-27ED256E5E0F}">
    <text xml:space="preserve">BESCHLUSSVERFÜGUNG ZUM GEHEIMNISSCHUTZ IN DEUTSCHEN VERLETZUNGSPROZESSEN. UNTERLASSUNGSVERTRAG AUS SEP PROZESS VERHINDERT, DASS UMFASSTE INFORMATIONEN IN PARALLELVERFAHREN EINGEFÜHRT WERDEN KÖNNEN. </text>
  </threadedComment>
  <threadedComment ref="E5" dT="2023-10-10T13:12:12.95" personId="{93238EA4-A97E-43A0-A9D2-13620007081D}" id="{1ED44B2E-FD6D-4A72-BEB6-E7902ECAF376}">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5" dT="2023-10-10T13:13:28.06" personId="{93238EA4-A97E-43A0-A9D2-13620007081D}" id="{10FAA257-3826-4D68-9EB7-9BA8EE727267}" parentId="{1ED44B2E-FD6D-4A72-BEB6-E7902ECAF376}">
    <text xml:space="preserve">Die Klage ist als derzeit unbegrundet abzuweisen, soweit die Klagerin von der Beklagten Unterlassung, Ruckruf und Entfernung aus den Vertriebswegen sowie die Vernichtung patentverletzender Produkte </text>
  </threadedComment>
  <threadedComment ref="A8" dT="2023-10-08T14:42:02.61" personId="{93238EA4-A97E-43A0-A9D2-13620007081D}" id="{8D8ED45E-6D84-4793-A13F-E2A21A9C9710}">
    <text xml:space="preserve">7 O 14091/19 </text>
  </threadedComment>
  <threadedComment ref="C8" dT="2023-10-08T14:42:26.28" personId="{93238EA4-A97E-43A0-A9D2-13620007081D}" id="{6AC1AE1D-6FB4-4FB2-B08A-79BDBAC4B86F}">
    <text>Depends on the Aktenzeichen</text>
  </threadedComment>
  <threadedComment ref="N11" dT="2023-10-08T13:15:07.55" personId="{93238EA4-A97E-43A0-A9D2-13620007081D}" id="{33D81D4B-BF2F-42B0-8899-8BFFB95F3302}">
    <text>02.10.2019</text>
  </threadedComment>
</ThreadedComments>
</file>

<file path=xl/threadedComments/threadedComment3.xml><?xml version="1.0" encoding="utf-8"?>
<ThreadedComments xmlns="http://schemas.microsoft.com/office/spreadsheetml/2018/threadedcomments" xmlns:x="http://schemas.openxmlformats.org/spreadsheetml/2006/main">
  <threadedComment ref="Q2" dT="2023-10-10T15:52:12.92" personId="{93238EA4-A97E-43A0-A9D2-13620007081D}" id="{51791408-2026-449B-B78A-BA69B8FA879C}">
    <text>check</text>
  </threadedComment>
  <threadedComment ref="E5" dT="2023-10-10T18:56:17.06" personId="{93238EA4-A97E-43A0-A9D2-13620007081D}" id="{9F6C47E2-E6B4-4CD2-AFB0-C63422A386DC}">
    <text xml:space="preserve">Der Antrag auf Erlass einer einstweiligen Verfügung ist zulässig (I.) und begründet (II). </text>
  </threadedComment>
  <threadedComment ref="E5" dT="2023-10-10T18:56:31.43" personId="{93238EA4-A97E-43A0-A9D2-13620007081D}" id="{72441CB3-43D9-4A30-A949-0856D2E4ADC8}" parentId="{9F6C47E2-E6B4-4CD2-AFB0-C63422A386DC}">
    <text>Bei den in § 33 Abs. 1 GWB geregelten Unterlassungs- und Beseitigungsansprüchen handelt
es sich um Ansprüche aus unerlaubter Handlung.</text>
  </threadedComment>
  <threadedComment ref="D6" dT="2023-10-10T18:59:53.09" personId="{93238EA4-A97E-43A0-A9D2-13620007081D}" id="{47A770AA-8A55-4446-A705-89458ADA4EF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C7" dT="2023-10-10T19:16:26.64" personId="{93238EA4-A97E-43A0-A9D2-13620007081D}" id="{A210A82E-DC9B-474D-B083-F82C460F76EE}">
    <text>Two dates. Latest decision (with same original complaint) was awarded an injunction</text>
  </threadedComment>
  <threadedComment ref="C8" dT="2023-10-10T19:16:26.64" personId="{93238EA4-A97E-43A0-A9D2-13620007081D}" id="{21C769A6-824B-4E79-8BAE-DF44EF4028B0}">
    <text>Two dates. Latest decision (with same original complaint) was awarded an injunction</text>
  </threadedComment>
</ThreadedComments>
</file>

<file path=xl/threadedComments/threadedComment4.xml><?xml version="1.0" encoding="utf-8"?>
<ThreadedComments xmlns="http://schemas.microsoft.com/office/spreadsheetml/2018/threadedcomments" xmlns:x="http://schemas.openxmlformats.org/spreadsheetml/2006/main">
  <threadedComment ref="S2" dT="2023-11-08T18:29:21.24" personId="{93238EA4-A97E-43A0-A9D2-13620007081D}" id="{3811A881-8CF3-4CEE-AD1F-C478655CCAF6}">
    <text>.44</text>
  </threadedComment>
  <threadedComment ref="W2" dT="2023-11-08T18:29:21.24" personId="{93238EA4-A97E-43A0-A9D2-13620007081D}" id="{760D0934-BF9D-4C69-AF37-1550B8C132F6}">
    <text>.44</text>
  </threadedComment>
  <threadedComment ref="Y2" dT="2023-11-13T14:07:59.33" personId="{93238EA4-A97E-43A0-A9D2-13620007081D}" id="{09ABC5ED-676B-421E-8C70-24D2B651E89A}">
    <text>.178</text>
  </threadedComment>
  <threadedComment ref="Z2" dT="2023-11-13T14:08:12.31" personId="{93238EA4-A97E-43A0-A9D2-13620007081D}" id="{3FC0B788-4BA4-41E5-9503-44B804CF0B82}">
    <text>.178
.235</text>
  </threadedComment>
  <threadedComment ref="AA2" dT="2023-11-21T23:48:24.18" personId="{93238EA4-A97E-43A0-A9D2-13620007081D}" id="{F5A0BE9F-4E30-4E8E-A595-3BDD3582257D}">
    <text>.192</text>
  </threadedComment>
  <threadedComment ref="AB2" dT="2023-11-08T19:00:06.94" personId="{93238EA4-A97E-43A0-A9D2-13620007081D}" id="{54BDBA3F-0F0E-4E2C-AF7F-51E919A64ED0}">
    <text>.202
.204
.209-.211
.236</text>
  </threadedComment>
  <threadedComment ref="AF2" dT="2023-11-10T16:13:56.65" personId="{93238EA4-A97E-43A0-A9D2-13620007081D}" id="{5C6604AF-E5AE-43FE-9331-6C0D6681ACC3}">
    <text xml:space="preserve">.44
Der Konzern, dem die Beklagten angehören, ist Lizenznehmer verschiedener Lizenzpools der Klägerin, welche sich auf andere Technologien beziehen </text>
  </threadedComment>
  <threadedComment ref="AF2" dT="2023-12-15T12:35:44.77" personId="{93238EA4-A97E-43A0-A9D2-13620007081D}" id="{DA84183E-797B-4622-9993-537F3C66219B}" parentId="{5C6604AF-E5AE-43FE-9331-6C0D6681ACC3}">
    <text>Used to be Yes?</text>
  </threadedComment>
  <threadedComment ref="AG2" dT="2023-11-10T16:20:14.54" personId="{93238EA4-A97E-43A0-A9D2-13620007081D}" id="{C6B75D7A-40EF-4581-970A-2428EA435849}">
    <text>.52
.196
v (no)
.45</text>
  </threadedComment>
  <threadedComment ref="S3" dT="2023-11-13T14:30:09.92" personId="{93238EA4-A97E-43A0-A9D2-13620007081D}" id="{892B7398-9B6C-4A75-9187-8D2A19EC883E}">
    <text>.20</text>
  </threadedComment>
  <threadedComment ref="U3" dT="2023-11-13T14:31:12.12" personId="{93238EA4-A97E-43A0-A9D2-13620007081D}" id="{F7ECCF8D-F121-43B0-AFFC-4E1B8740309B}">
    <text>23.07.2014
Different from the date of complaint/first action from DartsIP</text>
  </threadedComment>
  <threadedComment ref="W3" dT="2023-11-13T14:32:38.70" personId="{93238EA4-A97E-43A0-A9D2-13620007081D}" id="{3B01E2B0-4600-42D9-8A42-09387AE94935}">
    <text>.20</text>
  </threadedComment>
  <threadedComment ref="Y3" dT="2023-11-13T14:34:53.22" personId="{93238EA4-A97E-43A0-A9D2-13620007081D}" id="{05C730CB-E528-4FBE-910E-7CEAC7287E64}">
    <text>.206</text>
  </threadedComment>
  <threadedComment ref="Z3" dT="2023-11-13T14:35:03.15" personId="{93238EA4-A97E-43A0-A9D2-13620007081D}" id="{D4B076FD-B996-455E-949F-5B061DCFF774}">
    <text>.206
.208
.214
.232
.245</text>
  </threadedComment>
  <threadedComment ref="AA3" dT="2023-11-13T14:35:58.84" personId="{93238EA4-A97E-43A0-A9D2-13620007081D}" id="{EB0E70F6-30E2-43B2-943A-1B1E29B77F85}">
    <text>But late, after filling the lawsuit
.222
In zeitlicher Hinsicht lässt sich die Verletzungsanzeige durch die Klägerin hier im Ergebnis ebenfalls nicht beanstanden. 
.225
Die Verletzungsanzeige im Schreiben der Klägerin vom 31.07.2014 an die Beklagte (Anlage B-K58) war an sich verspätet, da zu diesem Zeitpunkt die Klage bereits eingereicht und der Kostenvorschuss (am 29.07.2014) schon eingezahlt worden war.
.245</text>
  </threadedComment>
  <threadedComment ref="AB3" dT="2023-11-13T14:38:32.93" personId="{93238EA4-A97E-43A0-A9D2-13620007081D}" id="{C76B113D-2116-4F6D-B482-2F9484C43605}">
    <text>.249
.318</text>
  </threadedComment>
  <threadedComment ref="AC3" dT="2023-11-10T22:03:29.88" personId="{93238EA4-A97E-43A0-A9D2-13620007081D}" id="{69EE2237-2F26-4DB5-B64E-FBACC48C9B2A}">
    <text>.262
.349</text>
  </threadedComment>
  <threadedComment ref="AD3" dT="2023-11-22T00:16:47.86" personId="{93238EA4-A97E-43A0-A9D2-13620007081D}" id="{BCB95FAD-D1B2-4DB6-ABAB-12A6049381EF}">
    <text>.222
.264</text>
  </threadedComment>
  <threadedComment ref="AE3" dT="2023-11-22T00:20:04.37" personId="{93238EA4-A97E-43A0-A9D2-13620007081D}" id="{D80FC576-C009-4925-9C49-782EEB13233F}">
    <text>.272</text>
  </threadedComment>
  <threadedComment ref="AF3" dT="2023-11-10T21:49:04.76" personId="{93238EA4-A97E-43A0-A9D2-13620007081D}" id="{F26FABA7-BF63-4365-B691-F2D482124B24}">
    <text>.24
.69
.293</text>
  </threadedComment>
  <threadedComment ref="AF3" dT="2023-12-15T12:35:47.67" personId="{93238EA4-A97E-43A0-A9D2-13620007081D}" id="{40787877-B169-44FF-AB71-9273FA39AA05}" parentId="{F26FABA7-BF63-4365-B691-F2D482124B24}">
    <text>Used to be Yes?</text>
  </threadedComment>
  <threadedComment ref="AG3" dT="2023-11-10T22:03:21.86" personId="{93238EA4-A97E-43A0-A9D2-13620007081D}" id="{25FEC53B-1F02-480D-8A02-F205E5231F1C}">
    <text>.19
.40</text>
  </threadedComment>
  <threadedComment ref="AS3" dT="2023-12-27T21:50:40.95" personId="{93238EA4-A97E-43A0-A9D2-13620007081D}" id="{F0540B8A-E4E2-4783-AB3B-FDC1AC4E12C0}">
    <text>Darts</text>
  </threadedComment>
  <threadedComment ref="S4" dT="2023-11-13T15:03:44.55" personId="{93238EA4-A97E-43A0-A9D2-13620007081D}" id="{C7A34E9B-42D6-4223-A2EC-B83E648A12E1}">
    <text>.21</text>
  </threadedComment>
  <threadedComment ref="W4" dT="2023-11-13T15:03:44.55" personId="{93238EA4-A97E-43A0-A9D2-13620007081D}" id="{0FDF7B4E-F80B-4D5D-9508-BCA76E1AF56D}">
    <text>.21</text>
  </threadedComment>
  <threadedComment ref="Y4" dT="2023-11-13T15:07:41.12" personId="{93238EA4-A97E-43A0-A9D2-13620007081D}" id="{ACEA1250-EEE4-45B6-A7F1-E3EEA885D7B5}">
    <text>.212</text>
  </threadedComment>
  <threadedComment ref="Z4" dT="2023-11-12T19:07:55.76" personId="{93238EA4-A97E-43A0-A9D2-13620007081D}" id="{DF4F750F-4B2B-4D46-A026-467AA325150E}">
    <text>.214
.411</text>
  </threadedComment>
  <threadedComment ref="AA4" dT="2023-11-13T14:35:58.84" personId="{93238EA4-A97E-43A0-A9D2-13620007081D}" id="{F2865A39-B2F2-4BA3-8B7F-E47904718F88}">
    <text>But late, after filling the lawsuit
.228
In zeitlicher Hinsicht lässt sich die Verletzungsanzeige durch die Klägerin hier im Ergebnis ebenfalls nicht beanstanden.
.231
Die Verletzungsanzeige im Schreiben der Klägerin vom 31.07.2014 an die Beklagte (Anlage A-K58) war an sich verspätet, da zu diesem Zeitpunkt die Klage bereits eingereicht und der Kostenvorschuss (am 29.07.2014) schon eingezahlt worden war.
.251</text>
  </threadedComment>
  <threadedComment ref="AB4" dT="2023-11-12T19:05:40.14" personId="{93238EA4-A97E-43A0-A9D2-13620007081D}" id="{3B039CF9-F112-4241-9EB5-92FBBCE7E65D}">
    <text>.255
.322
.324</text>
  </threadedComment>
  <threadedComment ref="AC4" dT="2023-11-12T19:11:03.36" personId="{93238EA4-A97E-43A0-A9D2-13620007081D}" id="{E444A568-6EE7-4F2F-B9C7-4B5CEB3C440C}">
    <text>.268
.355</text>
  </threadedComment>
  <threadedComment ref="AD4" dT="2023-11-22T00:59:36.94" personId="{93238EA4-A97E-43A0-A9D2-13620007081D}" id="{EF6135B1-3B0B-4CE4-AE02-BA4C789FE242}">
    <text>.228
.270</text>
  </threadedComment>
  <threadedComment ref="AE4" dT="2023-11-22T01:00:32.03" personId="{93238EA4-A97E-43A0-A9D2-13620007081D}" id="{4975D8EC-BB7B-4105-BCA0-009A957DF48B}">
    <text>.278</text>
  </threadedComment>
  <threadedComment ref="AF4" dT="2023-11-12T19:05:27.59" personId="{93238EA4-A97E-43A0-A9D2-13620007081D}" id="{8DB86B3D-DD11-4949-910D-9E0128DC65BB}">
    <text>.25
.284
.299-.306
.322
.411</text>
  </threadedComment>
  <threadedComment ref="AF4" dT="2023-12-15T12:35:50.80" personId="{93238EA4-A97E-43A0-A9D2-13620007081D}" id="{24D82C51-BFB2-4E9C-875F-263621A41261}" parentId="{8DB86B3D-DD11-4949-910D-9E0128DC65BB}">
    <text>Used to be Yes?</text>
  </threadedComment>
  <threadedComment ref="AG4" dT="2023-11-12T19:08:55.65" personId="{93238EA4-A97E-43A0-A9D2-13620007081D}" id="{CCD9029B-A84F-4461-9CC9-C4357A3F04C4}">
    <text>.20
.41
.308-.310
.311-314</text>
  </threadedComment>
  <threadedComment ref="AP4" dT="2023-11-27T13:40:07.66" personId="{93238EA4-A97E-43A0-A9D2-13620007081D}" id="{94390C78-891B-4C95-81E6-C4BC83535A9C}">
    <text xml:space="preserve">INEFFECTIVE!
Die Entscheidung ist wirkungslos. Die Klage wurde am 28.12.2018 zurückgenommen. </text>
  </threadedComment>
  <threadedComment ref="S5" dT="2023-11-13T13:48:43.90" personId="{93238EA4-A97E-43A0-A9D2-13620007081D}" id="{9B5DAED8-A47B-4E28-8D97-A5560CDC1A9E}">
    <text>.24</text>
  </threadedComment>
  <threadedComment ref="W5" dT="2023-11-13T15:18:57.72" personId="{93238EA4-A97E-43A0-A9D2-13620007081D}" id="{296F93B9-99F2-4F61-BECE-7A0D761E461C}">
    <text>.24</text>
  </threadedComment>
  <threadedComment ref="Y5" dT="2023-11-13T15:20:47.96" personId="{93238EA4-A97E-43A0-A9D2-13620007081D}" id="{470EA1B4-933D-4D82-ABF2-A135E493EB3D}">
    <text>.341</text>
  </threadedComment>
  <threadedComment ref="Z5" dT="2023-11-10T16:39:57.82" personId="{93238EA4-A97E-43A0-A9D2-13620007081D}" id="{09131516-692C-4B01-8F50-614CC71997B1}">
    <text>.412
.525-.526
v (no)
.351</text>
  </threadedComment>
  <threadedComment ref="Z5" dT="2023-12-15T12:24:24.70" personId="{93238EA4-A97E-43A0-A9D2-13620007081D}" id="{C2EBF01F-AE09-4D0A-BE04-9C8E3FE940F9}" parentId="{09131516-692C-4B01-8F50-614CC71997B1}">
    <text>Used to be Yes?</text>
  </threadedComment>
  <threadedComment ref="AA5" dT="2023-11-13T13:49:06.12" personId="{93238EA4-A97E-43A0-A9D2-13620007081D}" id="{7BEC2076-7775-45DA-8B7A-EDAF8A2A8F1D}">
    <text>.24
.355</text>
  </threadedComment>
  <threadedComment ref="AB5" dT="2023-11-10T12:37:12.16" personId="{93238EA4-A97E-43A0-A9D2-13620007081D}" id="{E040E2EA-F314-47C3-A4D7-7285C84B659B}">
    <text>.363
.368
.388
(not sure of stating facts to explain the procedure or because they do match the case in question)</text>
  </threadedComment>
  <threadedComment ref="AC5" dT="2023-11-13T13:52:16.20" personId="{93238EA4-A97E-43A0-A9D2-13620007081D}" id="{FCA31237-0129-460F-95BE-17CD3E4FAE43}">
    <text>.379
.380
.507</text>
  </threadedComment>
  <threadedComment ref="AD5" dT="2023-11-13T13:52:23.11" personId="{93238EA4-A97E-43A0-A9D2-13620007081D}" id="{3B6F62CD-8C36-4DB7-B988-00F5708CFFF8}">
    <text>.380
.507
Too close to the hearing (not first offer, 2017 one)</text>
  </threadedComment>
  <threadedComment ref="AE5" dT="2023-11-22T01:15:57.65" personId="{93238EA4-A97E-43A0-A9D2-13620007081D}" id="{812F0DB0-E05C-4307-820F-B4B476F4D206}">
    <text>.380</text>
  </threadedComment>
  <threadedComment ref="AE5" dT="2023-11-29T15:32:06.50" personId="{93238EA4-A97E-43A0-A9D2-13620007081D}" id="{39E2A95F-4ACC-4924-A141-DD8DD04D6EFA}" parentId="{812F0DB0-E05C-4307-820F-B4B476F4D206}">
    <text>I believe that even though the calculation was not clear, with more time, this could have been covered/explained, allowing the defendant to make a counter offer.
So chiefly, the main detractor here was timing, hence a formality issue with the FRAND offer.</text>
  </threadedComment>
  <threadedComment ref="AG5" dT="2023-11-10T17:11:10.66" personId="{93238EA4-A97E-43A0-A9D2-13620007081D}" id="{5B875332-954D-443C-A26F-D7BB2CA73FC4}">
    <text>.27
.39
.43</text>
  </threadedComment>
  <threadedComment ref="S6" dT="2023-11-13T13:48:43.90" personId="{93238EA4-A97E-43A0-A9D2-13620007081D}" id="{3291FD65-FB42-4CFE-83D1-F9B0F8B0E11F}">
    <text>.24</text>
  </threadedComment>
  <threadedComment ref="W6" dT="2023-11-13T15:18:57.72" personId="{93238EA4-A97E-43A0-A9D2-13620007081D}" id="{03408F56-DCA7-474D-9890-A81344099983}">
    <text>.24</text>
  </threadedComment>
  <threadedComment ref="Y6" dT="2023-11-13T15:20:47.96" personId="{93238EA4-A97E-43A0-A9D2-13620007081D}" id="{14EECA60-1568-4BEE-9B81-52C91F651007}">
    <text>.341
.347</text>
  </threadedComment>
  <threadedComment ref="Z6" dT="2023-11-10T16:39:57.82" personId="{93238EA4-A97E-43A0-A9D2-13620007081D}" id="{030E568B-0477-4849-99AD-701B3409CA6B}">
    <text>.412
.525-.526
v (no)
.351</text>
  </threadedComment>
  <threadedComment ref="Z6" dT="2023-12-15T12:24:35.96" personId="{93238EA4-A97E-43A0-A9D2-13620007081D}" id="{A52F0D77-BFCD-400A-AB96-F2AB0A1AEC53}" parentId="{030E568B-0477-4849-99AD-701B3409CA6B}">
    <text>Used to be Yes?</text>
  </threadedComment>
  <threadedComment ref="AA6" dT="2023-11-13T13:49:06.12" personId="{93238EA4-A97E-43A0-A9D2-13620007081D}" id="{4DFA10F8-FFAF-40E8-AEAD-6A4A435A3AC0}">
    <text>.24
.355</text>
  </threadedComment>
  <threadedComment ref="AB6" dT="2023-11-10T12:37:12.16" personId="{93238EA4-A97E-43A0-A9D2-13620007081D}" id="{40293D9B-C217-45CB-A759-3741CA78C250}">
    <text>.363
.368
.388
(not sure of stating facts to explain the procedure or because they do match the case in question)</text>
  </threadedComment>
  <threadedComment ref="AC6" dT="2023-11-13T13:52:16.20" personId="{93238EA4-A97E-43A0-A9D2-13620007081D}" id="{AE1B4C6D-7DA6-43D8-85AD-CDAF7C9C46E8}">
    <text>.379
.380
.507</text>
  </threadedComment>
  <threadedComment ref="AD6" dT="2023-11-13T13:52:23.11" personId="{93238EA4-A97E-43A0-A9D2-13620007081D}" id="{F8B9546E-0ABB-4188-A044-8D933801575D}">
    <text>.380
.507
Too close to the hearing (not first offer, 2017 one)</text>
  </threadedComment>
  <threadedComment ref="AE6" dT="2023-11-22T01:15:57.65" personId="{93238EA4-A97E-43A0-A9D2-13620007081D}" id="{B9E1F801-C038-4F28-B919-33BB386C70D8}">
    <text>.380</text>
  </threadedComment>
  <threadedComment ref="AE6" dT="2023-11-29T15:32:06.50" personId="{93238EA4-A97E-43A0-A9D2-13620007081D}" id="{2546E53C-0CF9-4ADD-B474-9B7CDB701558}" parentId="{B9E1F801-C038-4F28-B919-33BB386C70D8}">
    <text>I believe that even though the calculation was not clear, with more time, this could have been covered/explained, allowing the defendant to make a counter offer.
So chiefly, the main detractor here was timing, hence a formality issue with the FRAND offer.</text>
  </threadedComment>
  <threadedComment ref="AG6" dT="2023-11-10T17:11:10.66" personId="{93238EA4-A97E-43A0-A9D2-13620007081D}" id="{187BDEB0-606B-4E63-A04E-527C71C15A71}">
    <text>.27
.39
.43</text>
  </threadedComment>
  <threadedComment ref="S7" dT="2023-11-13T17:49:24.09" personId="{93238EA4-A97E-43A0-A9D2-13620007081D}" id="{6A44D9E4-EAD3-45EC-A41C-30B267D5ECCA}">
    <text>.27</text>
  </threadedComment>
  <threadedComment ref="W7" dT="2023-11-13T17:49:30.80" personId="{93238EA4-A97E-43A0-A9D2-13620007081D}" id="{DB252D02-6A56-4621-8D64-06B565A4D57E}">
    <text>.27</text>
  </threadedComment>
  <threadedComment ref="Y7" dT="2023-11-13T17:56:16.96" personId="{93238EA4-A97E-43A0-A9D2-13620007081D}" id="{960A4AFE-1AB4-4DC6-8ADE-2516530F9C9B}">
    <text>.134</text>
  </threadedComment>
  <threadedComment ref="Z7" dT="2023-11-13T17:56:16.96" personId="{93238EA4-A97E-43A0-A9D2-13620007081D}" id="{F733FB17-9710-4888-BEE8-AD542F8DF91A}">
    <text>180</text>
  </threadedComment>
  <threadedComment ref="AA7" dT="2023-11-13T14:35:58.84" personId="{93238EA4-A97E-43A0-A9D2-13620007081D}" id="{49EBB7D2-AB62-4CEE-9C03-D8A3171CEA2C}">
    <text>.187
.60
But late, after filling the lawsuit (for damages, January 2016)</text>
  </threadedComment>
  <threadedComment ref="AB7" dT="2023-11-13T17:47:54.47" personId="{93238EA4-A97E-43A0-A9D2-13620007081D}" id="{243AB504-4E91-48DF-B7F5-661F93FF4C01}">
    <text>.197
.202</text>
  </threadedComment>
  <threadedComment ref="AC7" dT="2023-11-13T17:59:55.39" personId="{93238EA4-A97E-43A0-A9D2-13620007081D}" id="{DEEF59A0-8B3B-4ABD-8775-D25C530FA377}">
    <text>.212
.234
.261</text>
  </threadedComment>
  <threadedComment ref="AD7" dT="2023-11-13T13:52:23.11" personId="{93238EA4-A97E-43A0-A9D2-13620007081D}" id="{DEC2603D-A0DE-42D2-BC5A-2A8CBB7EE2D7}">
    <text>.60
No mention of the infringement before the lawsuit</text>
  </threadedComment>
  <threadedComment ref="AD7" dT="2023-11-13T19:45:08.76" personId="{93238EA4-A97E-43A0-A9D2-13620007081D}" id="{1EF87E7E-3735-42AE-AD7F-D95BF8847F7E}" parentId="{DEC2603D-A0DE-42D2-BC5A-2A8CBB7EE2D7}">
    <text>.227-.229</text>
  </threadedComment>
  <threadedComment ref="AD7" dT="2023-11-29T15:38:32.53" personId="{93238EA4-A97E-43A0-A9D2-13620007081D}" id="{28EA1C82-3FC5-4097-9397-06D4AC246B74}" parentId="{DEC2603D-A0DE-42D2-BC5A-2A8CBB7EE2D7}">
    <text>Yes if we take the 1° and 2° offers, the 3° is not clear in terms of timing.</text>
  </threadedComment>
  <threadedComment ref="AE7" dT="2023-11-13T18:05:30.05" personId="{93238EA4-A97E-43A0-A9D2-13620007081D}" id="{148B6DA7-75BB-40CA-86FE-2647624F9A24}">
    <text>.60
Problem with the one-off payment and the lack of per unite license.</text>
  </threadedComment>
  <threadedComment ref="AE7" dT="2023-11-13T19:22:34.64" personId="{93238EA4-A97E-43A0-A9D2-13620007081D}" id="{C41DE386-F3C0-444C-A9B6-DAAF6D4A964B}" parentId="{148B6DA7-75BB-40CA-86FE-2647624F9A24}">
    <text>.234
.261
.275
.277</text>
  </threadedComment>
  <threadedComment ref="S8" dT="2023-11-13T18:59:11.18" personId="{93238EA4-A97E-43A0-A9D2-13620007081D}" id="{44956432-A9AB-471E-8893-FC70F81C9DA2}">
    <text>.17</text>
  </threadedComment>
  <threadedComment ref="W8" dT="2023-11-13T18:59:38.74" personId="{93238EA4-A97E-43A0-A9D2-13620007081D}" id="{69ECBD18-BD0E-4058-B923-B815FDE951A3}">
    <text>.17</text>
  </threadedComment>
  <threadedComment ref="Y8" dT="2023-11-13T19:24:25.75" personId="{93238EA4-A97E-43A0-A9D2-13620007081D}" id="{4D7FB27D-FF9E-4A0B-BCA5-F7858A4A4891}">
    <text>.126</text>
  </threadedComment>
  <threadedComment ref="Z8" dT="2023-11-13T19:27:35.44" personId="{93238EA4-A97E-43A0-A9D2-13620007081D}" id="{AC747E91-32BF-438A-B0A5-52F5DC0EEB0A}">
    <text>.172</text>
  </threadedComment>
  <threadedComment ref="AA8" dT="2023-11-13T14:35:58.84" personId="{93238EA4-A97E-43A0-A9D2-13620007081D}" id="{260428E4-E23D-40B2-8FF1-C5136A23A65F}">
    <text>.179
.17
But late, after filling the lawsuit (for damages, January 2016)</text>
  </threadedComment>
  <threadedComment ref="AB8" dT="2023-11-13T19:29:38.68" personId="{93238EA4-A97E-43A0-A9D2-13620007081D}" id="{75D65F61-A5B2-430D-839E-BC16D2E1E28A}">
    <text>.189</text>
  </threadedComment>
  <threadedComment ref="AC8" dT="2023-11-13T19:32:55.83" personId="{93238EA4-A97E-43A0-A9D2-13620007081D}" id="{A1EB9518-D83A-47E4-8D9E-4633D922A90B}">
    <text>.203
.220
.225
.252
.266</text>
  </threadedComment>
  <threadedComment ref="AD8" dT="2023-11-13T19:48:14.26" personId="{93238EA4-A97E-43A0-A9D2-13620007081D}" id="{56D2B1A3-D2D5-45C1-A0F9-8F8612C3B8CD}">
    <text>.218-.220</text>
  </threadedComment>
  <threadedComment ref="AD8" dT="2023-11-29T15:39:47.04" personId="{93238EA4-A97E-43A0-A9D2-13620007081D}" id="{CDFC8A1C-E437-480E-B004-FF5D26CF715D}" parentId="{56D2B1A3-D2D5-45C1-A0F9-8F8612C3B8CD}">
    <text>Yes if we take the 1° and 2° offers, the 3° is not clear in terms of timing.</text>
  </threadedComment>
  <threadedComment ref="AE8" dT="2023-11-13T19:49:06.41" personId="{93238EA4-A97E-43A0-A9D2-13620007081D}" id="{8972FBC0-F1E4-47A4-B343-0DE72570A0FD}">
    <text>.225
.254
.268
.281</text>
  </threadedComment>
  <threadedComment ref="S9" dT="2023-11-13T20:08:48.22" personId="{93238EA4-A97E-43A0-A9D2-13620007081D}" id="{73E1787A-B21D-47A1-A113-9153568C4472}">
    <text>.61-.66</text>
  </threadedComment>
  <threadedComment ref="W9" dT="2023-11-13T20:08:48.22" personId="{93238EA4-A97E-43A0-A9D2-13620007081D}" id="{2874E882-837E-4B1B-B2A0-BFAC526D7DFD}">
    <text>.61-.66</text>
  </threadedComment>
  <threadedComment ref="Y9" dT="2023-11-13T20:16:30.63" personId="{93238EA4-A97E-43A0-A9D2-13620007081D}" id="{E28910C6-A962-496F-97C2-E7F89365FB12}">
    <text>.283</text>
  </threadedComment>
  <threadedComment ref="Z9" dT="2023-11-13T20:19:35.33" personId="{93238EA4-A97E-43A0-A9D2-13620007081D}" id="{E7FE2167-966E-4AEE-B2C4-B48109B61499}">
    <text>.296</text>
  </threadedComment>
  <threadedComment ref="AA9" dT="2023-11-13T20:22:25.90" personId="{93238EA4-A97E-43A0-A9D2-13620007081D}" id="{C20BA7D8-E49F-4E1B-9CFA-C1130061E9EC}">
    <text>.314
.316
.328</text>
  </threadedComment>
  <threadedComment ref="AB9" dT="2023-11-13T20:25:28.35" personId="{93238EA4-A97E-43A0-A9D2-13620007081D}" id="{105A1EF1-EEF6-4094-AC34-32D28EBB6ECA}">
    <text>.346</text>
  </threadedComment>
  <threadedComment ref="AC9" dT="2023-11-13T21:19:59.98" personId="{93238EA4-A97E-43A0-A9D2-13620007081D}" id="{B0EB4E27-D21A-41BB-901D-D12FC1C8ABE4}">
    <text>.352</text>
  </threadedComment>
  <threadedComment ref="AD9" dT="2023-11-13T21:20:08.39" personId="{93238EA4-A97E-43A0-A9D2-13620007081D}" id="{3EB0BB67-9B6A-414C-81BE-F885E20FBFCB}">
    <text>.352
.354</text>
  </threadedComment>
  <threadedComment ref="AE9" dT="2023-11-13T21:20:13.44" personId="{93238EA4-A97E-43A0-A9D2-13620007081D}" id="{50B61ECB-69F7-42D3-A7D8-C70B6FF311A0}">
    <text>.352
.389</text>
  </threadedComment>
  <threadedComment ref="AF9" dT="2023-11-12T19:27:45.05" personId="{93238EA4-A97E-43A0-A9D2-13620007081D}" id="{573C5950-2F10-491A-B2FF-C9EE74287A53}">
    <text>.58-.59
.77</text>
  </threadedComment>
  <threadedComment ref="AG9" dT="2023-11-12T19:30:45.65" personId="{93238EA4-A97E-43A0-A9D2-13620007081D}" id="{916713E7-708F-4478-9557-7BAC9060C1B9}">
    <text>.68
.76
.333</text>
  </threadedComment>
  <threadedComment ref="Q10" dT="2023-10-08T16:14:54.91" personId="{93238EA4-A97E-43A0-A9D2-13620007081D}" id="{2E9FDB49-56F4-4B26-8F56-B2E973D56E0C}">
    <text>Check</text>
  </threadedComment>
  <threadedComment ref="S10" dT="2023-11-14T12:15:03.78" personId="{93238EA4-A97E-43A0-A9D2-13620007081D}" id="{8F109CA9-A73F-4D44-9853-7DF42497C09B}">
    <text>.66</text>
  </threadedComment>
  <threadedComment ref="S10" dT="2023-11-14T12:15:40.56" personId="{93238EA4-A97E-43A0-A9D2-13620007081D}" id="{7C742187-B16F-46C1-B8FF-33A561DD7484}" parentId="{8F109CA9-A73F-4D44-9853-7DF42497C09B}">
    <text>Mention of previous contacts in 2008-2009.</text>
  </threadedComment>
  <threadedComment ref="V10" dT="2023-11-14T12:15:03.78" personId="{93238EA4-A97E-43A0-A9D2-13620007081D}" id="{458CCA5A-8A40-4514-B23F-802C0D07DF7C}">
    <text>.66</text>
  </threadedComment>
  <threadedComment ref="V10" dT="2023-11-14T12:15:40.56" personId="{93238EA4-A97E-43A0-A9D2-13620007081D}" id="{DA81EC2B-E712-465D-9ED7-347A45616C6B}" parentId="{458CCA5A-8A40-4514-B23F-802C0D07DF7C}">
    <text>Mention of previous contacts in 2008-2009.</text>
  </threadedComment>
  <threadedComment ref="W10" dT="2023-11-14T12:15:03.78" personId="{93238EA4-A97E-43A0-A9D2-13620007081D}" id="{458CCA5A-8A40-4513-B23F-802C0D07DF7C}">
    <text>.66</text>
  </threadedComment>
  <threadedComment ref="W10" dT="2023-11-14T12:15:40.56" personId="{93238EA4-A97E-43A0-A9D2-13620007081D}" id="{DA81EC2B-E712-465C-9ED7-347A45616C6B}" parentId="{458CCA5A-8A40-4513-B23F-802C0D07DF7C}">
    <text>Mention of previous contacts in 2008-2009.</text>
  </threadedComment>
  <threadedComment ref="Y10" dT="2023-11-14T12:17:41.61" personId="{93238EA4-A97E-43A0-A9D2-13620007081D}" id="{C5576B95-FB4A-46B9-A90B-42D5350622B5}">
    <text>.229</text>
  </threadedComment>
  <threadedComment ref="Z10" dT="2023-11-14T12:18:23.78" personId="{93238EA4-A97E-43A0-A9D2-13620007081D}" id="{32EF9CD7-BA2B-483C-BB0C-A46C079D3CEF}">
    <text>.239</text>
  </threadedComment>
  <threadedComment ref="AA10" dT="2023-11-14T12:22:08.59" personId="{93238EA4-A97E-43A0-A9D2-13620007081D}" id="{2D5667F1-0566-448B-9EFA-89E7C1AB570F}">
    <text>.255
.257</text>
  </threadedComment>
  <threadedComment ref="AB10" dT="2023-11-14T12:23:18.86" personId="{93238EA4-A97E-43A0-A9D2-13620007081D}" id="{F4605D22-990D-4459-AC64-EA33DFCE2B33}">
    <text>.300</text>
  </threadedComment>
  <threadedComment ref="AC10" dT="2023-11-14T12:25:19.30" personId="{93238EA4-A97E-43A0-A9D2-13620007081D}" id="{99C678DB-11A8-48A2-ADAA-7A51963FA428}">
    <text>.310</text>
  </threadedComment>
  <threadedComment ref="AD10" dT="2023-11-14T12:25:19.30" personId="{93238EA4-A97E-43A0-A9D2-13620007081D}" id="{A569A70E-5132-4D1C-8E2C-BCD69901996D}">
    <text>.310
.312
.314</text>
  </threadedComment>
  <threadedComment ref="AE10" dT="2023-11-14T12:25:19.30" personId="{93238EA4-A97E-43A0-A9D2-13620007081D}" id="{B9211CE3-9786-4DB4-AF30-2F4B436DF855}">
    <text>.310
.330</text>
  </threadedComment>
  <threadedComment ref="AF10" dT="2023-11-12T19:33:47.62" personId="{93238EA4-A97E-43A0-A9D2-13620007081D}" id="{1CC0472A-E895-4228-937F-B0E6895ED123}">
    <text>.24-25
.337</text>
  </threadedComment>
  <threadedComment ref="AG10" dT="2023-11-12T19:34:49.45" personId="{93238EA4-A97E-43A0-A9D2-13620007081D}" id="{57892AA3-FDEB-4730-9DA5-61DC02DBFE3C}">
    <text>.25
.30
.72
.82</text>
  </threadedComment>
  <threadedComment ref="AS10" dT="2023-12-27T21:50:49.84" personId="{93238EA4-A97E-43A0-A9D2-13620007081D}" id="{BD4BF902-3B15-4F98-B336-684F10E9EEF8}">
    <text>Darts</text>
  </threadedComment>
  <threadedComment ref="S11" dT="2023-11-14T12:38:27.33" personId="{93238EA4-A97E-43A0-A9D2-13620007081D}" id="{14B9FB9F-507E-4335-AEB7-E016568814AF}">
    <text>.39
.339</text>
  </threadedComment>
  <threadedComment ref="W11" dT="2023-11-14T12:38:27.33" personId="{93238EA4-A97E-43A0-A9D2-13620007081D}" id="{9138FA53-0D99-4E3F-A2F6-E2B056E8BD15}">
    <text>.39
.339</text>
  </threadedComment>
  <threadedComment ref="Y11" dT="2023-11-14T12:36:02.40" personId="{93238EA4-A97E-43A0-A9D2-13620007081D}" id="{652BDA78-2EC6-4AD4-9B64-392CF78A0D04}">
    <text>.307</text>
  </threadedComment>
  <threadedComment ref="Z11" dT="2023-11-14T12:36:24.63" personId="{93238EA4-A97E-43A0-A9D2-13620007081D}" id="{2A3911DA-BA6D-4797-B2CC-6E6A04EF9ED3}">
    <text>.321</text>
  </threadedComment>
  <threadedComment ref="AA11" dT="2023-11-14T12:39:18.55" personId="{93238EA4-A97E-43A0-A9D2-13620007081D}" id="{66F1C17D-8C5F-43A6-80D9-F95B914FE8BD}">
    <text>.339
.341</text>
  </threadedComment>
  <threadedComment ref="AB11" dT="2023-11-14T12:44:23.38" personId="{93238EA4-A97E-43A0-A9D2-13620007081D}" id="{2003293A-5D9D-4584-86F0-3D81A4438A89}">
    <text>.398</text>
  </threadedComment>
  <threadedComment ref="AC11" dT="2023-11-14T12:45:19.04" personId="{93238EA4-A97E-43A0-A9D2-13620007081D}" id="{5CD7767F-5E3F-4243-98E0-A0F3FF28E7E1}">
    <text>.405</text>
  </threadedComment>
  <threadedComment ref="AD11" dT="2023-11-14T12:45:19.04" personId="{93238EA4-A97E-43A0-A9D2-13620007081D}" id="{2A36B220-42A5-4B93-9692-2D5EF426F4D0}">
    <text>.405
.407
.409</text>
  </threadedComment>
  <threadedComment ref="AE11" dT="2023-11-14T12:45:19.04" personId="{93238EA4-A97E-43A0-A9D2-13620007081D}" id="{F490BE34-E22B-410B-8612-A91490F9A111}">
    <text>.405
.429</text>
  </threadedComment>
  <threadedComment ref="AF11" dT="2023-11-12T19:40:57.49" personId="{93238EA4-A97E-43A0-A9D2-13620007081D}" id="{456CF1BF-27B3-4CAE-9FFD-AD72CC413060}">
    <text>.36</text>
  </threadedComment>
  <threadedComment ref="AG11" dT="2023-11-12T19:38:20.83" personId="{93238EA4-A97E-43A0-A9D2-13620007081D}" id="{D77B8BBA-756E-488C-93FB-C91A3BAE99DE}">
    <text>.54
.124
.361</text>
  </threadedComment>
  <threadedComment ref="AS11" dT="2023-12-27T21:50:53.98" personId="{93238EA4-A97E-43A0-A9D2-13620007081D}" id="{02285F79-8C4E-462D-B109-48FD2897F386}">
    <text>Darts</text>
  </threadedComment>
  <threadedComment ref="S12" dT="2023-11-14T13:09:11.98" personId="{93238EA4-A97E-43A0-A9D2-13620007081D}" id="{80DD5EC9-385A-4DE2-8CFA-877ACF33A4B2}">
    <text>.211</text>
  </threadedComment>
  <threadedComment ref="W12" dT="2023-11-14T13:09:41.54" personId="{93238EA4-A97E-43A0-A9D2-13620007081D}" id="{95BE14B0-7503-4098-BA39-71FE63FE1207}">
    <text>.211
Patent in suit, in 06.10.2015 other 7 patents have been mentioned.</text>
  </threadedComment>
  <threadedComment ref="Y12" dT="2023-11-14T13:01:43.22" personId="{93238EA4-A97E-43A0-A9D2-13620007081D}" id="{679FA712-0146-4E13-8641-2F8F1A011A69}">
    <text>.142</text>
  </threadedComment>
  <threadedComment ref="Z12" dT="2023-11-14T13:02:59.86" personId="{93238EA4-A97E-43A0-A9D2-13620007081D}" id="{E57D2E1E-669E-4108-A7F7-7B86E181E865}">
    <text>.188</text>
  </threadedComment>
  <threadedComment ref="Z12" dT="2023-12-15T12:24:52.20" personId="{93238EA4-A97E-43A0-A9D2-13620007081D}" id="{D1B30CCD-AD62-4DFF-A878-0A42772719DC}" parentId="{E57D2E1E-669E-4108-A7F7-7B86E181E865}">
    <text>Used to be Yes?</text>
  </threadedComment>
  <threadedComment ref="AA12" dT="2023-11-14T13:07:47.13" personId="{93238EA4-A97E-43A0-A9D2-13620007081D}" id="{C7B009AF-D30C-487B-9EA2-6A94B48CAEF2}">
    <text>.211</text>
  </threadedComment>
  <threadedComment ref="AB12" dT="2023-11-14T13:04:41.52" personId="{93238EA4-A97E-43A0-A9D2-13620007081D}" id="{2DC6096D-F550-4FF4-8077-746F5C34DAD4}">
    <text>.205
.210</text>
  </threadedComment>
  <threadedComment ref="AC12" dT="2023-11-14T13:05:24.75" personId="{93238EA4-A97E-43A0-A9D2-13620007081D}" id="{46E52BEA-6585-43C5-8219-2433D3F336A6}">
    <text>.220
.269</text>
  </threadedComment>
  <threadedComment ref="AD12" dT="2023-11-14T13:13:19.20" personId="{93238EA4-A97E-43A0-A9D2-13620007081D}" id="{B3471C83-0B98-4490-A0C6-13C30A9D7054}">
    <text>.235-.237</text>
  </threadedComment>
  <threadedComment ref="AD12" dT="2023-11-29T15:43:33.72" personId="{93238EA4-A97E-43A0-A9D2-13620007081D}" id="{142EFE1C-DC0E-442D-B8CC-077703A4C98D}" parentId="{B3471C83-0B98-4490-A0C6-13C30A9D7054}">
    <text>Yes if we take the 1° and 2° offers, the 3° is not clear in terms of timing.</text>
  </threadedComment>
  <threadedComment ref="AE12" dT="2023-11-14T13:16:01.83" personId="{93238EA4-A97E-43A0-A9D2-13620007081D}" id="{C0DAFFF0-5F71-4335-810A-5C76BF02E094}">
    <text>.242
.271
.283
.285</text>
  </threadedComment>
  <threadedComment ref="D13" dT="2023-10-10T09:24:45.88" personId="{93238EA4-A97E-43A0-A9D2-13620007081D}" id="{D2DCE1C1-1B73-47D7-81BE-11F288517D57}">
    <text>Apparently comes from a previous settelement where an injunction was asserted</text>
  </threadedComment>
  <threadedComment ref="D13" dT="2023-11-22T16:37:39.61" personId="{93238EA4-A97E-43A0-A9D2-13620007081D}" id="{8C407333-DEE9-4D1A-B08C-38383534C754}" parentId="{D2DCE1C1-1B73-47D7-81BE-11F288517D57}">
    <text>(initially, but patent expired before decision)
Justus</text>
  </threadedComment>
  <threadedComment ref="E13" dT="2023-10-10T09:25:17.72" personId="{93238EA4-A97E-43A0-A9D2-13620007081D}" id="{518469CA-1F4A-46B0-BC2B-8099A7F31349}">
    <text xml:space="preserve">Die Klägerin macht – nachdem die Parteien den Rechtsstreit übereinstimmend im Hinblick auf den ursprünglich auch geltend gemachten Unterlassungsanspruch teilweise für erledigt erklärt haben – </text>
  </threadedComment>
  <threadedComment ref="E13" dT="2023-11-22T16:37:59.82" personId="{93238EA4-A97E-43A0-A9D2-13620007081D}" id="{35300ED3-B718-4C19-AD6A-5EE5838A971A}" parentId="{518469CA-1F4A-46B0-BC2B-8099A7F31349}">
    <text>(patent expired, so no injunction issued; but court is explicit in that plaintiff had a right to request the injunction when it did)
Justus</text>
  </threadedComment>
  <threadedComment ref="Q13" dT="2023-10-08T16:15:33.03" personId="{93238EA4-A97E-43A0-A9D2-13620007081D}" id="{FCCB471E-EE0A-4222-9705-4FB92564BDC8}">
    <text>check</text>
  </threadedComment>
  <threadedComment ref="Q13" dT="2023-10-10T09:27:52.13" personId="{93238EA4-A97E-43A0-A9D2-13620007081D}" id="{2E5A06C7-0395-4097-BE7B-051865B0B269}" parentId="{FCCB471E-EE0A-4222-9705-4FB92564BDC8}">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S13" dT="2023-11-14T13:41:19.19" personId="{93238EA4-A97E-43A0-A9D2-13620007081D}" id="{C0C84D00-BE63-4A2C-98A6-83AE40166A32}">
    <text>.96</text>
  </threadedComment>
  <threadedComment ref="W13" dT="2023-11-14T13:41:19.19" personId="{93238EA4-A97E-43A0-A9D2-13620007081D}" id="{68F1A096-FB48-4540-8EB7-EE23F006E619}">
    <text>.96</text>
  </threadedComment>
  <threadedComment ref="Y13" dT="2023-11-14T13:42:29.17" personId="{93238EA4-A97E-43A0-A9D2-13620007081D}" id="{F8C5E988-6610-4EFC-A032-F3B269FF5BC5}">
    <text>.227</text>
  </threadedComment>
  <threadedComment ref="Z13" dT="2023-11-14T13:42:56.52" personId="{93238EA4-A97E-43A0-A9D2-13620007081D}" id="{F70D2C06-E011-4631-ADE7-B8CA3FB8F229}">
    <text>.237</text>
  </threadedComment>
  <threadedComment ref="AA13" dT="2023-11-14T13:45:27.74" personId="{93238EA4-A97E-43A0-A9D2-13620007081D}" id="{55385772-3D73-4046-BC54-86361972A274}">
    <text>.253
.255
.258</text>
  </threadedComment>
  <threadedComment ref="AB13" dT="2023-11-14T13:45:27.74" personId="{93238EA4-A97E-43A0-A9D2-13620007081D}" id="{740B158C-5415-42F9-9A7D-42F54B1397D5}">
    <text>.253
.298</text>
  </threadedComment>
  <threadedComment ref="AC13" dT="2023-11-14T13:48:39.68" personId="{93238EA4-A97E-43A0-A9D2-13620007081D}" id="{A95BB7CE-E09A-4C3D-89AB-0769D461C0BD}">
    <text>.308</text>
  </threadedComment>
  <threadedComment ref="AD13" dT="2023-11-14T13:50:20.09" personId="{93238EA4-A97E-43A0-A9D2-13620007081D}" id="{1DB01CCF-AE95-4AB3-BF47-913A232A3BD7}">
    <text>.308
.310
.312</text>
  </threadedComment>
  <threadedComment ref="AE13" dT="2023-11-14T13:51:31.73" personId="{93238EA4-A97E-43A0-A9D2-13620007081D}" id="{D8C99A50-5FDB-4925-8FEE-039F3A5B39A1}">
    <text>.308
.328</text>
  </threadedComment>
  <threadedComment ref="AF13" dT="2023-11-12T19:41:31.97" personId="{93238EA4-A97E-43A0-A9D2-13620007081D}" id="{66C3080C-A5C6-44C1-8C07-981EBCDB6115}">
    <text>.54-.55</text>
  </threadedComment>
  <threadedComment ref="AG13" dT="2023-11-12T19:44:32.77" personId="{93238EA4-A97E-43A0-A9D2-13620007081D}" id="{523A47A7-9A1D-4B6A-B8C6-217DB7A7CCBB}">
    <text>.55
.60
.102</text>
  </threadedComment>
  <threadedComment ref="AS13" dT="2023-12-27T21:50:59.48" personId="{93238EA4-A97E-43A0-A9D2-13620007081D}" id="{AC2B570A-15AB-43B5-AD1D-554728708421}">
    <text>Darts</text>
  </threadedComment>
  <threadedComment ref="S14" dT="2023-11-14T15:43:13.17" personId="{93238EA4-A97E-43A0-A9D2-13620007081D}" id="{691A1B6F-FA88-4FD1-ADBD-B393A92BC9EA}">
    <text>.40
.214
11.07.2018
.759
Mention of a prior infringement notification in 2016</text>
  </threadedComment>
  <threadedComment ref="W14" dT="2023-11-14T15:43:13.17" personId="{93238EA4-A97E-43A0-A9D2-13620007081D}" id="{BB512E5E-D1FE-423D-8631-99DF600A5497}">
    <text>.40
.214
.759
Mention of a prior infringement notification in 2016</text>
  </threadedComment>
  <threadedComment ref="Y14" dT="2023-11-14T16:04:50.90" personId="{93238EA4-A97E-43A0-A9D2-13620007081D}" id="{1AE5DBD9-176F-472D-A58B-A2AF3EDDD55F}">
    <text>.189</text>
  </threadedComment>
  <threadedComment ref="Z14" dT="2023-11-14T16:05:23.32" personId="{93238EA4-A97E-43A0-A9D2-13620007081D}" id="{D892EFA6-909A-4EA1-BA9A-B585B074222B}">
    <text>.187
.199</text>
  </threadedComment>
  <threadedComment ref="AA14" dT="2023-11-14T15:50:07.51" personId="{93238EA4-A97E-43A0-A9D2-13620007081D}" id="{B77E86EE-3E7D-46FF-88DE-01EE7D311119}">
    <text xml:space="preserve">.206
.209
.213
.758
</text>
  </threadedComment>
  <threadedComment ref="AB14" dT="2023-11-14T15:50:21.99" personId="{93238EA4-A97E-43A0-A9D2-13620007081D}" id="{BAB8D0D4-EE33-46E7-A0A7-991C476FC3CB}">
    <text>.236
.762-.763
v
.751
.760</text>
  </threadedComment>
  <threadedComment ref="AC14" dT="2023-11-14T15:55:00.42" personId="{93238EA4-A97E-43A0-A9D2-13620007081D}" id="{39B49277-791B-4CE3-969E-48DDD7B8F5A8}">
    <text>.240-.241
.244
.264
.268
.270
.280
.306
.314
.319
.325</text>
  </threadedComment>
  <threadedComment ref="AD14" dT="2023-11-14T16:31:53.79" personId="{93238EA4-A97E-43A0-A9D2-13620007081D}" id="{2D5903F3-791C-4366-9C7A-4803D6F372F1}">
    <text>.241
.759</text>
  </threadedComment>
  <threadedComment ref="AE14" dT="2023-11-14T15:55:00.42" personId="{93238EA4-A97E-43A0-A9D2-13620007081D}" id="{94EEB219-E45B-48B7-B1B0-A2F1FFF2CF4B}">
    <text>.264
.268
.270
.280
.306
.314
.319
.325</text>
  </threadedComment>
  <threadedComment ref="AF14" dT="2023-11-14T15:40:11.79" personId="{93238EA4-A97E-43A0-A9D2-13620007081D}" id="{727633F1-BECC-458B-90DB-67F0D59EFBB2}">
    <text>.20-.21</text>
  </threadedComment>
  <threadedComment ref="AG14" dT="2023-11-14T15:41:20.93" personId="{93238EA4-A97E-43A0-A9D2-13620007081D}" id="{C405E714-911F-4686-9442-1886150507E2}">
    <text>.25</text>
  </threadedComment>
  <threadedComment ref="AS14" dT="2023-11-29T14:54:02.24" personId="{93238EA4-A97E-43A0-A9D2-13620007081D}" id="{B1F16176-EEE7-44ED-BA26-8EC581D8F9C3}">
    <text>Darts</text>
  </threadedComment>
  <threadedComment ref="AS14" dT="2023-11-29T14:54:37.64" personId="{93238EA4-A97E-43A0-A9D2-13620007081D}" id="{B4A66E80-9A5C-4BCD-B0B0-49B5267972F5}" parentId="{B1F16176-EEE7-44ED-BA26-8EC581D8F9C3}">
    <text>Could be an old one, in Darts there is also a mention of 28.01.2021</text>
  </threadedComment>
  <threadedComment ref="S15" dT="2023-11-14T17:03:37.74" personId="{93238EA4-A97E-43A0-A9D2-13620007081D}" id="{3527BCF0-C7CF-4F36-A4F1-C308C8B701E2}">
    <text>.93
.286
03.09.2018
.283
.299
.729
Mention of a prior infringement notification in 2016</text>
  </threadedComment>
  <threadedComment ref="W15" dT="2023-11-14T17:03:37.74" personId="{93238EA4-A97E-43A0-A9D2-13620007081D}" id="{185A59BE-E584-4582-8716-34A0A928F4DD}">
    <text>.93
.286
.729
Mention of a prior infringement notification in 2016</text>
  </threadedComment>
  <threadedComment ref="Y15" dT="2023-11-14T17:05:15.91" personId="{93238EA4-A97E-43A0-A9D2-13620007081D}" id="{1B4F4FF7-7D19-4974-BF73-651178D1395C}">
    <text>.261</text>
  </threadedComment>
  <threadedComment ref="Z15" dT="2023-11-14T17:05:01.44" personId="{93238EA4-A97E-43A0-A9D2-13620007081D}" id="{8E69EA43-EE77-41D4-BD95-E9238445985F}">
    <text>.259
.271</text>
  </threadedComment>
  <threadedComment ref="AA15" dT="2023-11-14T17:06:56.60" personId="{93238EA4-A97E-43A0-A9D2-13620007081D}" id="{B032F41A-5E1C-4213-96C7-BF9328181352}">
    <text>.278
.280
.285</text>
  </threadedComment>
  <threadedComment ref="AB15" dT="2023-11-14T17:12:26.49" personId="{93238EA4-A97E-43A0-A9D2-13620007081D}" id="{664687A0-DB82-4AF5-8153-C7606A681006}">
    <text>.308</text>
  </threadedComment>
  <threadedComment ref="AC15" dT="2023-11-14T17:13:57.00" personId="{93238EA4-A97E-43A0-A9D2-13620007081D}" id="{18156598-DA80-4B94-927C-F76D65D08C34}">
    <text>.312-.313
.316
.334
.336
.340
.350
.352
.378
.386
.391
.397</text>
  </threadedComment>
  <threadedComment ref="AD15" dT="2023-11-14T17:21:31.24" personId="{93238EA4-A97E-43A0-A9D2-13620007081D}" id="{39AE3E06-C470-474A-B0E0-F70CDA7D6AF2}">
    <text>.313
.729</text>
  </threadedComment>
  <threadedComment ref="AE15" dT="2023-11-14T17:13:57.00" personId="{93238EA4-A97E-43A0-A9D2-13620007081D}" id="{308A59EA-5608-4FAD-B349-CB840292CC82}">
    <text>.334
.336
.340
.350
.352
.378
.386
.391
.397</text>
  </threadedComment>
  <threadedComment ref="AF15" dT="2023-11-14T17:28:05.43" personId="{93238EA4-A97E-43A0-A9D2-13620007081D}" id="{BC32D8AC-7D3C-4E99-8839-F048B5D1FE7D}">
    <text>.17-.18</text>
  </threadedComment>
  <threadedComment ref="AG15" dT="2023-11-14T17:28:21.30" personId="{93238EA4-A97E-43A0-A9D2-13620007081D}" id="{FE01621A-4E16-4131-92F3-B77F31FE5D4D}">
    <text>.22</text>
  </threadedComment>
  <threadedComment ref="AS15" dT="2023-11-29T14:55:40.11" personId="{93238EA4-A97E-43A0-A9D2-13620007081D}" id="{4980AA7A-AFBA-466B-B56B-CEF1FBF31C03}">
    <text>Darts</text>
  </threadedComment>
  <threadedComment ref="AS15" dT="2023-11-29T14:56:18.84" personId="{93238EA4-A97E-43A0-A9D2-13620007081D}" id="{B5EC639D-1F1B-4BC1-AA68-DBF931C149F5}" parentId="{4980AA7A-AFBA-466B-B56B-CEF1FBF31C03}">
    <text>Could be an old one, in Darts there is also a mention of 28.01.2021</text>
  </threadedComment>
  <threadedComment ref="S16" dT="2023-11-14T18:31:22.32" personId="{93238EA4-A97E-43A0-A9D2-13620007081D}" id="{3F009848-342E-43D1-B7AC-4EA920CDE45C}">
    <text>.98
.328
20.11.2018
.325
.341
.579
Mention of a prior infringement notification in 2016</text>
  </threadedComment>
  <threadedComment ref="W16" dT="2023-11-14T18:31:22.32" personId="{93238EA4-A97E-43A0-A9D2-13620007081D}" id="{E1CCDFAA-33C1-4582-82D9-8A69C00030F5}">
    <text>.354
.98
.328
20.11.2018
.579
Mention of a prior infringement notification in 2016</text>
  </threadedComment>
  <threadedComment ref="Y16" dT="2023-11-14T18:42:19.40" personId="{93238EA4-A97E-43A0-A9D2-13620007081D}" id="{CA62744D-382D-46F5-987C-B23DDA77016B}">
    <text>.303</text>
  </threadedComment>
  <threadedComment ref="Z16" dT="2023-11-14T18:41:58.55" personId="{93238EA4-A97E-43A0-A9D2-13620007081D}" id="{8FED05BD-F7FB-47AD-80DE-82F2470A042B}">
    <text>.301</text>
  </threadedComment>
  <threadedComment ref="AA16" dT="2023-11-14T18:42:58.40" personId="{93238EA4-A97E-43A0-A9D2-13620007081D}" id="{B4C4C990-B26A-4ECC-8076-8D9ABC8206AD}">
    <text>.320
.322
.327</text>
  </threadedComment>
  <threadedComment ref="AB16" dT="2023-11-14T18:45:11.09" personId="{93238EA4-A97E-43A0-A9D2-13620007081D}" id="{BB8D7B27-8DAA-411C-86A9-D053F02A1E64}">
    <text>.350</text>
  </threadedComment>
  <threadedComment ref="AC16" dT="2023-11-14T19:01:32.43" personId="{93238EA4-A97E-43A0-A9D2-13620007081D}" id="{18A9A681-E061-408F-BA0C-576FE14086A8}">
    <text>.354-.355
.358
.376
.378
.382
.392
.394
.420
.428
.433
.439</text>
  </threadedComment>
  <threadedComment ref="AD16" dT="2023-11-14T19:02:46.63" personId="{93238EA4-A97E-43A0-A9D2-13620007081D}" id="{7AFD2C74-985C-45EF-BC01-89C9A6EF9BB4}">
    <text>.355
.579</text>
  </threadedComment>
  <threadedComment ref="AE16" dT="2023-11-14T19:01:53.33" personId="{93238EA4-A97E-43A0-A9D2-13620007081D}" id="{B27EA21D-005E-489D-918C-18C37841A300}">
    <text>.376
.378
.382
.392
.394
.420
.428
.433
.439</text>
  </threadedComment>
  <threadedComment ref="AF16" dT="2023-11-14T18:45:49.22" personId="{93238EA4-A97E-43A0-A9D2-13620007081D}" id="{49DF1BA4-7F4C-4285-8947-2B8FB78006A5}">
    <text>.22-.23</text>
  </threadedComment>
  <threadedComment ref="AG16" dT="2023-11-14T18:46:10.10" personId="{93238EA4-A97E-43A0-A9D2-13620007081D}" id="{75B90ADD-5519-4BE2-A13B-C3BEB2DAB116}">
    <text>.27</text>
  </threadedComment>
  <threadedComment ref="AS16" dT="2023-12-27T21:51:04.61" personId="{93238EA4-A97E-43A0-A9D2-13620007081D}" id="{398DB35F-FB63-4C5F-8E37-463981410CAA}">
    <text>Darts</text>
  </threadedComment>
  <threadedComment ref="E17" dT="2023-10-10T09:21:19.54" personId="{93238EA4-A97E-43A0-A9D2-13620007081D}" id="{4985B4A8-6D6A-47A5-BECB-25374B5AAD91}">
    <text>Das Verfahren wird ausgesetzt.</text>
  </threadedComment>
  <threadedComment ref="E17" dT="2023-11-22T16:38:27.43" personId="{93238EA4-A97E-43A0-A9D2-13620007081D}" id="{38176BF0-DA4E-45FB-BF31-7B4E9B6428AA}" parentId="{4985B4A8-6D6A-47A5-BECB-25374B5AAD91}">
    <text>{referred to CJEU, settled before decision}
Justus</text>
  </threadedComment>
  <threadedComment ref="S17" dT="2023-11-15T11:45:39.42" personId="{93238EA4-A97E-43A0-A9D2-13620007081D}" id="{E7DFCAEE-04AF-4B50-8990-1410C0BA0D4F}">
    <text>It only says March 2016
.8</text>
  </threadedComment>
  <threadedComment ref="W17" dT="2023-11-15T11:46:40.75" personId="{93238EA4-A97E-43A0-A9D2-13620007081D}" id="{E1BE09B1-AC1C-4953-AEB2-19EFF1E9C5BA}">
    <text>.8</text>
  </threadedComment>
  <threadedComment ref="AA17" dT="2023-11-15T12:00:36.64" personId="{93238EA4-A97E-43A0-A9D2-13620007081D}" id="{B8BE2593-076F-4172-AA7F-401D29A9826F}">
    <text>.8</text>
  </threadedComment>
  <threadedComment ref="AB17" dT="2023-11-15T12:00:41.35" personId="{93238EA4-A97E-43A0-A9D2-13620007081D}" id="{248C2095-7B90-4E38-B465-584096FF90F9}">
    <text>.8</text>
  </threadedComment>
  <threadedComment ref="AF17" dT="2023-11-15T12:01:56.55" personId="{93238EA4-A97E-43A0-A9D2-13620007081D}" id="{003941D1-422C-4766-8B64-D8DFCE45BB18}">
    <text>.35</text>
  </threadedComment>
  <threadedComment ref="AF17" dT="2023-12-15T12:35:54.32" personId="{93238EA4-A97E-43A0-A9D2-13620007081D}" id="{96D2AF47-B117-4833-A1B6-D0B303042286}" parentId="{003941D1-422C-4766-8B64-D8DFCE45BB18}">
    <text>Used to be Yes?</text>
  </threadedComment>
  <threadedComment ref="AP17" dT="2023-11-27T14:20:38.51" personId="{93238EA4-A97E-43A0-A9D2-13620007081D}" id="{61E83C3E-6605-46D7-8ECC-B7D26659021B}">
    <text>They specify some claims (1, 2, 4, 6 &amp; 9)</text>
  </threadedComment>
  <threadedComment ref="AS17" dT="2023-11-29T15:10:26.99" personId="{93238EA4-A97E-43A0-A9D2-13620007081D}" id="{318E850A-2CD0-422A-A8AD-23F22B3964E7}">
    <text>In Darts they mention
22.10.2019</text>
  </threadedComment>
  <threadedComment ref="S18" dT="2023-11-22T13:01:49.88" personId="{93238EA4-A97E-43A0-A9D2-13620007081D}" id="{469C2275-CB2C-4AF7-981E-43CD62EE276E}">
    <text>.11</text>
  </threadedComment>
  <threadedComment ref="W18" dT="2023-11-22T13:01:49.88" personId="{93238EA4-A97E-43A0-A9D2-13620007081D}" id="{45C36D6E-CD9B-450B-B594-1612A6491724}">
    <text>.11</text>
  </threadedComment>
  <threadedComment ref="W18" dT="2023-11-22T13:19:27.43" personId="{93238EA4-A97E-43A0-A9D2-13620007081D}" id="{94B65EDA-0F42-4F95-94A5-B64AF05B0410}" parentId="{45C36D6E-CD9B-450B-B594-1612A6491724}">
    <text xml:space="preserve">.131
13.04.2015 </text>
  </threadedComment>
  <threadedComment ref="Y18" dT="2023-11-22T13:07:34.86" personId="{93238EA4-A97E-43A0-A9D2-13620007081D}" id="{1DF50F32-BB75-4406-8517-33F069F27AE3}">
    <text>.69</text>
  </threadedComment>
  <threadedComment ref="Z18" dT="2023-11-22T13:17:09.11" personId="{93238EA4-A97E-43A0-A9D2-13620007081D}" id="{98B68EEF-1345-4D6A-97FB-CC3448CC4156}">
    <text>.69</text>
  </threadedComment>
  <threadedComment ref="AA18" dT="2023-11-22T13:07:34.86" personId="{93238EA4-A97E-43A0-A9D2-13620007081D}" id="{A2A4C727-1A69-40B7-895D-ABDDC0B20FD3}">
    <text>.69</text>
  </threadedComment>
  <threadedComment ref="AB18" dT="2023-11-22T13:19:03.30" personId="{93238EA4-A97E-43A0-A9D2-13620007081D}" id="{360CAA70-AB88-44E2-9C0C-8BE52C25AFF8}">
    <text>.100
.130
.142</text>
  </threadedComment>
  <threadedComment ref="AC18" dT="2023-11-22T13:07:34.86" personId="{93238EA4-A97E-43A0-A9D2-13620007081D}" id="{2D007222-672C-4305-BC16-CE894702B666}">
    <text>.69</text>
  </threadedComment>
  <threadedComment ref="AC18" dT="2023-12-15T12:29:27.32" personId="{93238EA4-A97E-43A0-A9D2-13620007081D}" id="{B596BD2B-6B5C-41CA-B2C1-9BC548D155ED}" parentId="{2D007222-672C-4305-BC16-CE894702B666}">
    <text>Used to be Yes?</text>
  </threadedComment>
  <threadedComment ref="AD18" dT="2023-11-22T13:07:34.86" personId="{93238EA4-A97E-43A0-A9D2-13620007081D}" id="{40364362-F582-4B85-82DD-A2063CA474DF}">
    <text>.69</text>
  </threadedComment>
  <threadedComment ref="AD18" dT="2023-12-15T12:29:32.51" personId="{93238EA4-A97E-43A0-A9D2-13620007081D}" id="{F0B1752C-2B15-4849-A661-846A0243ECF2}" parentId="{40364362-F582-4B85-82DD-A2063CA474DF}">
    <text>Used to be Yes?</text>
  </threadedComment>
  <threadedComment ref="AE18" dT="2023-11-22T13:07:34.86" personId="{93238EA4-A97E-43A0-A9D2-13620007081D}" id="{A5D13F9D-D46D-45C8-9D27-2A0DC855B2C9}">
    <text>.69</text>
  </threadedComment>
  <threadedComment ref="AE18" dT="2023-12-15T12:29:37.48" personId="{93238EA4-A97E-43A0-A9D2-13620007081D}" id="{C01CBC1F-0678-4F29-AB46-D7F12E20124E}" parentId="{A5D13F9D-D46D-45C8-9D27-2A0DC855B2C9}">
    <text>Used to be Yes?</text>
  </threadedComment>
  <threadedComment ref="AF18" dT="2023-11-22T12:57:20.29" personId="{93238EA4-A97E-43A0-A9D2-13620007081D}" id="{C89AEDBD-7470-42E8-8556-94E00FCBEC27}">
    <text>.8</text>
  </threadedComment>
  <threadedComment ref="AG18" dT="2023-11-22T12:57:20.29" personId="{93238EA4-A97E-43A0-A9D2-13620007081D}" id="{1D457255-F775-4FB1-B5D1-4EAC03900033}">
    <text>.8</text>
  </threadedComment>
  <threadedComment ref="AS18" dT="2023-12-27T21:51:09.41" personId="{93238EA4-A97E-43A0-A9D2-13620007081D}" id="{204744DE-122F-460C-BC9C-869CF9463F66}">
    <text>Darts</text>
  </threadedComment>
  <threadedComment ref="O19" dT="2023-12-15T12:23:17.01" personId="{93238EA4-A97E-43A0-A9D2-13620007081D}" id="{19B0FC52-4C97-4501-B079-DB13F1255AA6}">
    <text>Used to be ?
Then 1?</text>
  </threadedComment>
  <threadedComment ref="S19" dT="2023-11-22T14:20:41.23" personId="{93238EA4-A97E-43A0-A9D2-13620007081D}" id="{1A2B185C-474E-4EE3-8C76-6EB5BDADF343}">
    <text>.16</text>
  </threadedComment>
  <threadedComment ref="W19" dT="2023-11-22T14:20:41.23" personId="{93238EA4-A97E-43A0-A9D2-13620007081D}" id="{84647485-0C7C-4EC9-A1AE-D05ADF8F035C}">
    <text>.16</text>
  </threadedComment>
  <threadedComment ref="Y19" dT="2023-11-22T14:28:22.78" personId="{93238EA4-A97E-43A0-A9D2-13620007081D}" id="{27E1081C-01C0-4FEA-BC23-A81A31EC3949}">
    <text>.52</text>
  </threadedComment>
  <threadedComment ref="Z19" dT="2023-11-22T14:28:29.46" personId="{93238EA4-A97E-43A0-A9D2-13620007081D}" id="{F68B5FA1-362A-4E54-A130-515D259B9711}">
    <text>.52</text>
  </threadedComment>
  <threadedComment ref="Z19" dT="2023-11-22T19:11:12.84" personId="{93238EA4-A97E-43A0-A9D2-13620007081D}" id="{6DDB911D-DC34-4F8F-9F1C-3421070295C4}" parentId="{F68B5FA1-362A-4E54-A130-515D259B9711}">
    <text>I would say NO, since even the existence of the Dominant position was not proven (nor denied), but you first need to have a dominant position to be able to then abuse it.</text>
  </threadedComment>
  <threadedComment ref="Z19" dT="2023-12-15T12:25:16.13" personId="{93238EA4-A97E-43A0-A9D2-13620007081D}" id="{89607F55-4190-4B67-9364-F434CF766C34}" parentId="{F68B5FA1-362A-4E54-A130-515D259B9711}">
    <text>Used to be No?</text>
  </threadedComment>
  <threadedComment ref="AA19" dT="2023-11-22T14:24:06.18" personId="{93238EA4-A97E-43A0-A9D2-13620007081D}" id="{2EC79503-17B2-4512-93E8-B465D93D0D0F}">
    <text>.16
.52</text>
  </threadedComment>
  <threadedComment ref="AB19" dT="2023-11-22T14:28:41.36" personId="{93238EA4-A97E-43A0-A9D2-13620007081D}" id="{F2F14B71-C293-4393-A1B7-D416BE0126D0}">
    <text>.52</text>
  </threadedComment>
  <threadedComment ref="AB19" dT="2023-12-15T12:27:02.36" personId="{93238EA4-A97E-43A0-A9D2-13620007081D}" id="{235151EB-C029-40F7-94EA-8F8412EE363E}" parentId="{F2F14B71-C293-4393-A1B7-D416BE0126D0}">
    <text>Used to be No?</text>
  </threadedComment>
  <threadedComment ref="AC19" dT="2023-11-22T14:24:28.94" personId="{93238EA4-A97E-43A0-A9D2-13620007081D}" id="{831FC3AC-42FB-4B49-81A0-AE31D581F0B1}">
    <text>.52</text>
  </threadedComment>
  <threadedComment ref="AC19" dT="2023-12-15T12:29:29.94" personId="{93238EA4-A97E-43A0-A9D2-13620007081D}" id="{04F9EBD4-FA5E-487C-862D-70E6918508A1}" parentId="{831FC3AC-42FB-4B49-81A0-AE31D581F0B1}">
    <text>Used to be Yes?</text>
  </threadedComment>
  <threadedComment ref="AD19" dT="2023-11-22T14:24:28.94" personId="{93238EA4-A97E-43A0-A9D2-13620007081D}" id="{26CDE2E1-E6B2-4E68-B548-386A7B7DE3FC}">
    <text>.52</text>
  </threadedComment>
  <threadedComment ref="AD19" dT="2023-12-15T12:29:34.80" personId="{93238EA4-A97E-43A0-A9D2-13620007081D}" id="{3F8B42BB-81C2-4B0D-A034-FF5DFC3CE128}" parentId="{26CDE2E1-E6B2-4E68-B548-386A7B7DE3FC}">
    <text>Used to be Yes?</text>
  </threadedComment>
  <threadedComment ref="AE19" dT="2023-11-22T14:24:28.94" personId="{93238EA4-A97E-43A0-A9D2-13620007081D}" id="{880F786B-7EAF-4B1B-AAA0-4C9727DCF7D9}">
    <text>.52</text>
  </threadedComment>
  <threadedComment ref="AE19" dT="2023-12-15T12:29:39.76" personId="{93238EA4-A97E-43A0-A9D2-13620007081D}" id="{EDB1C349-8245-4C4B-9552-365ACE46557C}" parentId="{880F786B-7EAF-4B1B-AAA0-4C9727DCF7D9}">
    <text>Used to be Yes?</text>
  </threadedComment>
  <threadedComment ref="AF19" dT="2023-11-22T14:18:13.09" personId="{93238EA4-A97E-43A0-A9D2-13620007081D}" id="{D52D5ABB-72BE-4E7B-B352-DB7306D1F530}">
    <text>.29
.69-.72</text>
  </threadedComment>
  <threadedComment ref="AF19" dT="2023-12-15T12:35:58.32" personId="{93238EA4-A97E-43A0-A9D2-13620007081D}" id="{072D3AAF-1261-498F-A5BB-103805B0519F}" parentId="{D52D5ABB-72BE-4E7B-B352-DB7306D1F530}">
    <text>Used to be Yes?</text>
  </threadedComment>
  <threadedComment ref="AG19" dT="2023-11-22T14:18:44.83" personId="{93238EA4-A97E-43A0-A9D2-13620007081D}" id="{A8183F7A-99DE-4456-9758-47D48BD26E8D}">
    <text>.16</text>
  </threadedComment>
  <threadedComment ref="AS19" dT="2023-12-27T21:51:13.58" personId="{93238EA4-A97E-43A0-A9D2-13620007081D}" id="{8FD64248-DCB3-4BDA-833E-B693415E727E}">
    <text>Darts</text>
  </threadedComment>
  <threadedComment ref="S20" dT="2023-11-22T15:31:17.69" personId="{93238EA4-A97E-43A0-A9D2-13620007081D}" id="{AFFC4ED9-F850-49A7-BF3B-0FA9019461FB}">
    <text>01.06.2015 Seite 6. (Pools Treffen, not on the 01 of June, just mention of Juni)
01.02.2016 Seite 6. (Pools Brief)
01.06.2016 Seite 5. (Pool)
23.06.2016 Seite 6. (bilaterale Lizenz)</text>
  </threadedComment>
  <threadedComment ref="W20" dT="2023-11-22T15:31:17.69" personId="{93238EA4-A97E-43A0-A9D2-13620007081D}" id="{056420F8-0F73-4671-90DD-C0A9466FC70A}">
    <text xml:space="preserve">Seite 5. (Pool)
23.06.2016 Seite 6. (bilaterale Lizenz)
</text>
  </threadedComment>
  <threadedComment ref="Y20" dT="2023-11-22T16:07:52.50" personId="{93238EA4-A97E-43A0-A9D2-13620007081D}" id="{500B0444-6357-4A8E-B404-BE0E5759F1BA}">
    <text>Seite 46, a).</text>
  </threadedComment>
  <threadedComment ref="Z20" dT="2023-11-22T17:37:29.67" personId="{93238EA4-A97E-43A0-A9D2-13620007081D}" id="{16206882-9058-462A-9286-F3D146ABBB98}">
    <text>Seite 54, (3).</text>
  </threadedComment>
  <threadedComment ref="AA20" dT="2023-11-22T17:31:42.56" personId="{93238EA4-A97E-43A0-A9D2-13620007081D}" id="{BD9E6925-7137-43CB-A15C-5B22E1DBC353}">
    <text>Seite 5-6.
Seite 55, (7).</text>
  </threadedComment>
  <threadedComment ref="AB20" dT="2023-11-22T17:09:02.99" personId="{93238EA4-A97E-43A0-A9D2-13620007081D}" id="{0084B767-6D12-4D47-AC9D-3F7DD83562B5}">
    <text>Seite 46, b).</text>
  </threadedComment>
  <threadedComment ref="AC20" dT="2023-11-22T17:31:42.56" personId="{93238EA4-A97E-43A0-A9D2-13620007081D}" id="{0D18337C-0FFA-464F-B30B-E3260AA6B2CB}">
    <text>Seite 5-6.
Seite 55, (7).</text>
  </threadedComment>
  <threadedComment ref="AF20" dT="2023-11-22T15:50:06.28" personId="{93238EA4-A97E-43A0-A9D2-13620007081D}" id="{E9CA1FDF-8E5D-40ED-AED0-6F4305073905}">
    <text>Seite 5.
Seite 6.</text>
  </threadedComment>
  <threadedComment ref="AG20" dT="2023-11-22T15:50:52.16" personId="{93238EA4-A97E-43A0-A9D2-13620007081D}" id="{AAA54E2F-A932-418E-9B92-8982AECBE12F}">
    <text>Seite 56. e).
v
Seite 10.</text>
  </threadedComment>
  <threadedComment ref="S21" dT="2023-11-22T18:03:10.89" personId="{93238EA4-A97E-43A0-A9D2-13620007081D}" id="{979429CB-32CD-476B-88C3-73579DB49340}">
    <text>Seite 5.</text>
  </threadedComment>
  <threadedComment ref="W21" dT="2023-11-22T18:04:34.33" personId="{93238EA4-A97E-43A0-A9D2-13620007081D}" id="{C9662E87-C039-4892-B7A1-2859C8C40AF8}">
    <text>Seite 5.
29.02.2016 Seite 25, a).</text>
  </threadedComment>
  <threadedComment ref="Y21" dT="2023-11-22T18:14:11.17" personId="{93238EA4-A97E-43A0-A9D2-13620007081D}" id="{7FF25ACD-A27B-47C6-952D-3980AA430214}">
    <text>Seite 23, 1. a).</text>
  </threadedComment>
  <threadedComment ref="AA21" dT="2023-11-22T18:26:51.15" personId="{93238EA4-A97E-43A0-A9D2-13620007081D}" id="{A581C339-6362-4FCE-82E7-B32D87DF082A}">
    <text>Seite 25, a).</text>
  </threadedComment>
  <threadedComment ref="AB21" dT="2023-11-22T18:26:51.15" personId="{93238EA4-A97E-43A0-A9D2-13620007081D}" id="{A8E7AD45-6AA7-4984-B9CA-3E5965C483DE}">
    <text>Seite 25, a).</text>
  </threadedComment>
  <threadedComment ref="AC21" dT="2023-11-22T18:16:41.93" personId="{93238EA4-A97E-43A0-A9D2-13620007081D}" id="{B4B34F8F-2CDB-45F7-BD8F-02D87C60FD00}">
    <text>Seite 25, 2.
Seite 26, b).
Seite 26, c).</text>
  </threadedComment>
  <threadedComment ref="AD21" dT="2023-11-22T18:31:01.28" personId="{93238EA4-A97E-43A0-A9D2-13620007081D}" id="{E766B142-2AB6-4012-A9FF-F6EEA753AF16}">
    <text>Seite 26, b).
Seite 26, c).</text>
  </threadedComment>
  <threadedComment ref="AD21" dT="2023-12-05T21:47:58.40" personId="{93238EA4-A97E-43A0-A9D2-13620007081D}" id="{ACA25F18-C9C2-4DEA-A0B8-ADCBDFDDA857}" parentId="{E766B142-2AB6-4012-A9FF-F6EEA753AF16}">
    <text>They identify a paragraph from the offer to be fair nor appropriate. That seems to be more formal than substantial.</text>
  </threadedComment>
  <threadedComment ref="AE21" dT="2023-11-22T18:36:34.25" personId="{93238EA4-A97E-43A0-A9D2-13620007081D}" id="{6DB0AABA-7550-408A-99E6-E5322A88B66C}">
    <text>Seite 26, b).
Seite 26, c).</text>
  </threadedComment>
  <threadedComment ref="AE21" dT="2023-12-05T21:48:16.12" personId="{93238EA4-A97E-43A0-A9D2-13620007081D}" id="{4850E1FB-E57F-430C-8F9C-C7B43E5F4E25}" parentId="{6DB0AABA-7550-408A-99E6-E5322A88B66C}">
    <text>They identify a paragraph from the offer to be fair nor appropriate. That seems to be more formal than substantial.</text>
  </threadedComment>
  <threadedComment ref="AG21" dT="2023-11-22T18:43:52.31" personId="{93238EA4-A97E-43A0-A9D2-13620007081D}" id="{ACFEB4D1-F148-4F9C-8B60-7B1E5C9BFB9C}">
    <text xml:space="preserve">Seite 5.
Die Beklagte ist die deutsche Vertriebstochter des A-Konzerns, der Mobiltelefone weltweit herstellt und vertreibt. Die Beklagte bewirbt diese Mobilfunkgerate in der Bundesrepublik Deutschland beispielsweise auf ihrem deutschsprachigen Facebook-Profil. Darunter sind Mobilfunkgerate, die von der Beklagten alfe kompatibel mit dem Long Term Evolution_x0002_Standard („LTE-Standard") vermarktet werden, soz.B. die Modelleund "[...]"Die Klagerin sieht hierin eine Verletzung von Anspruch 9 des Klagepatents. </text>
  </threadedComment>
  <threadedComment ref="AG21" dT="2023-12-15T12:36:04.56" personId="{93238EA4-A97E-43A0-A9D2-13620007081D}" id="{21B83DA1-47AC-4A11-BFC5-0C89816F3C20}" parentId="{ACFEB4D1-F148-4F9C-8B60-7B1E5C9BFB9C}">
    <text>Used to be Yes?</text>
  </threadedComment>
  <threadedComment ref="AN21" dT="2023-11-24T09:37:33.10" personId="{93238EA4-A97E-43A0-A9D2-13620007081D}" id="{C2541FC7-0F22-483E-8AD9-B3F8EE01E0B7}">
    <text>No winner</text>
  </threadedComment>
  <threadedComment ref="AS21" dT="2023-11-29T15:13:01.72" personId="{93238EA4-A97E-43A0-A9D2-13620007081D}" id="{9397DA02-1AC6-4D80-A6C7-766CBAB89214}">
    <text>In Darts they mention
29.05.2016</text>
  </threadedComment>
  <threadedComment ref="S22" dT="2023-11-22T23:09:36.93" personId="{93238EA4-A97E-43A0-A9D2-13620007081D}" id="{877167BD-7CAC-41EF-BB89-69DB66A58323}">
    <text>6.</text>
  </threadedComment>
  <threadedComment ref="W22" dT="2023-11-22T23:10:05.56" personId="{93238EA4-A97E-43A0-A9D2-13620007081D}" id="{E23B6A74-E6BD-4001-8F60-187DBC3541E6}">
    <text>6.</text>
  </threadedComment>
  <threadedComment ref="Y22" dT="2023-11-22T23:24:31.04" personId="{93238EA4-A97E-43A0-A9D2-13620007081D}" id="{8581FFEA-FDE5-488C-8EC6-E165493C91B8}">
    <text>.82</text>
  </threadedComment>
  <threadedComment ref="Z22" dT="2023-11-22T23:24:31.04" personId="{93238EA4-A97E-43A0-A9D2-13620007081D}" id="{2DB563DE-5EBF-468E-8F2B-DACE4EF34415}">
    <text>.82</text>
  </threadedComment>
  <threadedComment ref="AA22" dT="2023-11-22T23:24:31.04" personId="{93238EA4-A97E-43A0-A9D2-13620007081D}" id="{F19DDAA2-F68E-4E96-A256-0B286B89A4C1}">
    <text>.6
v
.82</text>
  </threadedComment>
  <threadedComment ref="AB22" dT="2023-11-22T23:24:31.04" personId="{93238EA4-A97E-43A0-A9D2-13620007081D}" id="{A69AE4A1-8D75-4949-A118-7AD497CC5C91}">
    <text>.87-.89</text>
  </threadedComment>
  <threadedComment ref="AC22" dT="2023-11-22T23:24:31.04" personId="{93238EA4-A97E-43A0-A9D2-13620007081D}" id="{08E9E524-0671-41BA-A32E-9C5A81270E17}">
    <text>.82
.84
.85</text>
  </threadedComment>
  <threadedComment ref="AD22" dT="2023-11-22T23:24:31.04" personId="{93238EA4-A97E-43A0-A9D2-13620007081D}" id="{92C5D694-A3EB-4B91-AA09-6BAC4515540E}">
    <text>.82
.84
.85</text>
  </threadedComment>
  <threadedComment ref="AD22" dT="2023-11-29T15:50:01.71" personId="{93238EA4-A97E-43A0-A9D2-13620007081D}" id="{1BCEBAA1-627A-4EC9-ABC3-858F40286023}" parentId="{92C5D694-A3EB-4B91-AA09-6BAC4515540E}">
    <text>They discuss about multipliers and the fee asked, so I believe that is a content issue and not one of formality.
And since there is no comment on the timing and they move to the substance of the offer, that would mean that it was formally FRAND, or at least it was not NOT FRAND.</text>
  </threadedComment>
  <threadedComment ref="AD22" dT="2023-12-05T21:54:47.09" personId="{93238EA4-A97E-43A0-A9D2-13620007081D}" id="{A539E127-2027-4D00-97AB-581F349BD830}" parentId="{92C5D694-A3EB-4B91-AA09-6BAC4515540E}">
    <text>Lack of transparency and mention of blanket multipliers. Plaintiff does not meet the requirements for FRAND offer. Seems more a Non-Formal than Non-Substantial offer.</text>
  </threadedComment>
  <threadedComment ref="AE22" dT="2023-11-22T23:24:31.04" personId="{93238EA4-A97E-43A0-A9D2-13620007081D}" id="{75219E69-C385-4D12-BA9B-16893FFDDE2B}">
    <text>.82
.84
.85</text>
  </threadedComment>
  <threadedComment ref="AG22" dT="2023-11-22T23:45:34.66" personId="{93238EA4-A97E-43A0-A9D2-13620007081D}" id="{6972D247-600A-40C0-8737-03AB375E7B7B}">
    <text>.2
.6
.88</text>
  </threadedComment>
  <threadedComment ref="AP22" dT="2023-11-27T14:20:38.51" personId="{93238EA4-A97E-43A0-A9D2-13620007081D}" id="{437A1A92-38E7-4342-9366-8B2B575626D5}">
    <text>They specify some claims (1, 2, 10-14)</text>
  </threadedComment>
  <threadedComment ref="AS22" dT="2023-11-29T15:14:37.93" personId="{93238EA4-A97E-43A0-A9D2-13620007081D}" id="{0C0AFF04-7244-41B6-80CC-9DF7B7FEBA2C}">
    <text>Darts</text>
  </threadedComment>
  <threadedComment ref="S23" dT="2023-11-23T12:38:10.29" personId="{93238EA4-A97E-43A0-A9D2-13620007081D}" id="{1DC3EFA3-7094-4225-B29C-DE5C1CF004CF}">
    <text>.6</text>
  </threadedComment>
  <threadedComment ref="W23" dT="2023-11-22T23:10:05.56" personId="{93238EA4-A97E-43A0-A9D2-13620007081D}" id="{CBC9E5F6-4610-4832-9AF5-2F1B3DE16937}">
    <text>6.</text>
  </threadedComment>
  <threadedComment ref="Y23" dT="2023-11-23T12:45:36.98" personId="{93238EA4-A97E-43A0-A9D2-13620007081D}" id="{DB35E198-40AE-431D-B6E8-AF5113E67E10}">
    <text>.115</text>
  </threadedComment>
  <threadedComment ref="Z23" dT="2023-11-23T12:45:36.98" personId="{93238EA4-A97E-43A0-A9D2-13620007081D}" id="{1C9D4FA8-D5BD-4C90-94C5-909565ACAA56}">
    <text>.115</text>
  </threadedComment>
  <threadedComment ref="AA23" dT="2023-11-22T23:24:31.04" personId="{93238EA4-A97E-43A0-A9D2-13620007081D}" id="{BEB14303-BCE4-4B41-95FD-7496B98A4645}">
    <text>.6
v
.115</text>
  </threadedComment>
  <threadedComment ref="AB23" dT="2023-11-23T12:58:37.22" personId="{93238EA4-A97E-43A0-A9D2-13620007081D}" id="{7DAF97B0-4092-4A36-8165-AC13B039CEBB}">
    <text>.120-.121</text>
  </threadedComment>
  <threadedComment ref="AC23" dT="2023-11-22T23:24:31.04" personId="{93238EA4-A97E-43A0-A9D2-13620007081D}" id="{63CC0C4E-8748-4E92-B088-5B26C1920853}">
    <text>.115
.117
.118</text>
  </threadedComment>
  <threadedComment ref="AD23" dT="2023-11-22T23:24:31.04" personId="{93238EA4-A97E-43A0-A9D2-13620007081D}" id="{BC5C6EC1-9F5D-46BE-B23B-58F726995896}">
    <text>.115
.117
.118</text>
  </threadedComment>
  <threadedComment ref="AD23" dT="2023-11-29T15:50:10.38" personId="{93238EA4-A97E-43A0-A9D2-13620007081D}" id="{28B38D32-DED5-4322-B07D-B472DBF24BC6}" parentId="{BC5C6EC1-9F5D-46BE-B23B-58F726995896}">
    <text>They discuss about multipliers and the fee asked, so I believe that is a content issue and not one of formality.
And since there is no comment on the timing and they move to the substance of the offer, that would mean that it was formally FRAND, or at least it was not NOT FRAND.</text>
  </threadedComment>
  <threadedComment ref="AD23" dT="2023-12-05T22:00:51.27" personId="{93238EA4-A97E-43A0-A9D2-13620007081D}" id="{C52AF6CD-5485-4253-ACC0-D5FA79234900}" parentId="{BC5C6EC1-9F5D-46BE-B23B-58F726995896}">
    <text>Lack of transparency and mention of blanket multipliers. Plaintiff does not meet the requirements for FRAND offer. Seems more a Non-Formal than Non-Substantial offer.</text>
  </threadedComment>
  <threadedComment ref="AE23" dT="2023-11-22T23:24:31.04" personId="{93238EA4-A97E-43A0-A9D2-13620007081D}" id="{7019CFC9-E6B4-45EE-8823-67B69E3C31B7}">
    <text>.115
.117
.118</text>
  </threadedComment>
  <threadedComment ref="AG23" dT="2023-11-22T23:45:34.66" personId="{93238EA4-A97E-43A0-A9D2-13620007081D}" id="{B16CBB56-9A44-44B8-A9F9-2A1AF47C0AB3}">
    <text>.2
.6
.121</text>
  </threadedComment>
  <threadedComment ref="S24" dT="2023-11-23T17:09:44.87" personId="{93238EA4-A97E-43A0-A9D2-13620007081D}" id="{BF02811B-B8B9-4F5F-8F82-4625DD156433}">
    <text>Seite 5.</text>
  </threadedComment>
  <threadedComment ref="W24" dT="2023-11-23T17:11:12.49" personId="{93238EA4-A97E-43A0-A9D2-13620007081D}" id="{F2A8F871-1FF8-4FE7-8E7D-E4566BF8D3ED}">
    <text>Seite 5.</text>
  </threadedComment>
  <threadedComment ref="Y24" dT="2023-11-23T13:25:31.61" personId="{93238EA4-A97E-43A0-A9D2-13620007081D}" id="{08678D9E-B56F-45CB-816F-F0CE907B80DB}">
    <text>Seite 19, 1.</text>
  </threadedComment>
  <threadedComment ref="Z24" dT="2023-11-23T13:33:45.31" personId="{93238EA4-A97E-43A0-A9D2-13620007081D}" id="{B27D5B05-884A-425B-B2D8-DBB496F6FF65}">
    <text>Seite 19, 2.</text>
  </threadedComment>
  <threadedComment ref="Z24" dT="2023-12-15T12:25:26.87" personId="{93238EA4-A97E-43A0-A9D2-13620007081D}" id="{57A75D8A-4A19-4748-ABB2-B5786600DA8B}" parentId="{B27D5B05-884A-425B-B2D8-DBB496F6FF65}">
    <text>Used to be Yes?</text>
  </threadedComment>
  <threadedComment ref="AA24" dT="2023-11-23T13:37:35.11" personId="{93238EA4-A97E-43A0-A9D2-13620007081D}" id="{B466C1B6-420E-43CD-A903-715CFED0B505}">
    <text>Seite 25.</text>
  </threadedComment>
  <threadedComment ref="AA24" dT="2023-11-23T13:37:42.94" personId="{93238EA4-A97E-43A0-A9D2-13620007081D}" id="{9C9FA946-1DAE-48F0-B4B7-C99D87458021}" parentId="{B466C1B6-420E-43CD-A903-715CFED0B505}">
    <text xml:space="preserve">Es kann dahinstehen, ob diese Lizenzbereitschaftserklarung auf das als Verletzungshinweis in jedem Fall genugende Schreiben der Klagerin einschlieftlich Lizenzvertragsangebot vom 28. Juli 2015 innerhalb angemessener Frist erfolgte. Denn eine nicht fristgerechte Erklarung zieht keine sog. materielle Praklusion nach sich (vgl. OLG Dusseldorf aaO Rn. 158 ff.), zumindest soweit die Erklarung noch vor Klageerhebung erfolgt. Die Klagerin hat die auf das Klagepatent gestutzte Klage vorliegend erst mit Klageerweiterungsschriftsatz vom 29. November 2016 erhoben, so dass die Lizenzbereitschaftserklarung vor der fur die hier geltend gemachten Anspruche maG&gt;geblichen Klageerhebung lieg </text>
  </threadedComment>
  <threadedComment ref="AB24" dT="2023-11-23T13:36:05.78" personId="{93238EA4-A97E-43A0-A9D2-13620007081D}" id="{A52E4642-6F92-4FDF-B713-D302DD51685D}">
    <text>Seite 24, bb).
Seite 25</text>
  </threadedComment>
  <threadedComment ref="AC24" dT="2023-11-23T13:33:45.31" personId="{93238EA4-A97E-43A0-A9D2-13620007081D}" id="{37899348-D9BC-411F-891A-F0A5B1B40C14}">
    <text>No?
Seite 19, 2.</text>
  </threadedComment>
  <threadedComment ref="AC24" dT="2023-11-23T13:40:33.53" personId="{93238EA4-A97E-43A0-A9D2-13620007081D}" id="{D1FA9E49-0295-4872-8175-28814EF94F7E}" parentId="{37899348-D9BC-411F-891A-F0A5B1B40C14}">
    <text xml:space="preserve">Seite 25.
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D24" dT="2023-11-23T13:41:11.92" personId="{93238EA4-A97E-43A0-A9D2-13620007081D}" id="{F8446CDB-710B-4AF1-BF54-4916C2B9DCA7}">
    <text>Seite 25.</text>
  </threadedComment>
  <threadedComment ref="AD24" dT="2023-11-23T13:41:18.91" personId="{93238EA4-A97E-43A0-A9D2-13620007081D}" id="{8DFD9BD6-9D03-4402-85C8-A7AC36ED7365}" parentId="{F8446CDB-710B-4AF1-BF54-4916C2B9DCA7}">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E24" dT="2023-11-23T13:41:11.92" personId="{93238EA4-A97E-43A0-A9D2-13620007081D}" id="{04B44218-2295-4D08-8EAD-214D27630DFB}">
    <text>Seite 25.</text>
  </threadedComment>
  <threadedComment ref="AE24" dT="2023-11-23T13:41:18.91" personId="{93238EA4-A97E-43A0-A9D2-13620007081D}" id="{0F548A9A-282D-4637-9F07-4D0E1BD49F77}" parentId="{04B44218-2295-4D08-8EAD-214D27630DFB}">
    <text xml:space="preserve">Soweit in Anbetracht der moglicherweise zeitlichen Verzbgerung die Lizenzbereitschaftserklarung hinsichtlich der Lizenzwilligkeit der Beklagten zu hinterfragen ware, ist aus Sicht der Kammer als Indiz fur eine grundsatzliche Lizenzwilligkeit zu berucksichtigen, dass die Beklagten noch vor Erhebung der hiesigen Klage mit Schreiben vom 25. August 2016 ein Gegenangebot unterbreitet, Auskunft zu den Umsatzzahlen erteilt und einen dem entsprechenden namhaften Betrag zugunsten der Klagerin hinterlegt haben. Das Gesamtverhalten der Beklagten lasst sonach nicht den Schluss zu, es handele sich urn einen von vornherein lizenzunwilligen Verhandlungspartner, dem gegenuber keine Verpflichtung besteht darzulegen, aus welchen tatsachlichen Grunden die Angebote des SEP-Patentinhabers FRAND-Grundsatzen entsprechen. </text>
  </threadedComment>
  <threadedComment ref="AG24" dT="2023-11-23T14:19:51.31" personId="{93238EA4-A97E-43A0-A9D2-13620007081D}" id="{81BA32FF-08AF-46DA-9724-E7573ED245C4}">
    <text>Seite 4.
Seite 5.</text>
  </threadedComment>
  <threadedComment ref="AS24" dT="2023-12-27T21:34:29.12" personId="{93238EA4-A97E-43A0-A9D2-13620007081D}" id="{68322D8E-74BE-4B99-8122-C50EC680694E}">
    <text>Darts</text>
  </threadedComment>
  <threadedComment ref="D25" dT="2023-10-10T10:03:19.74" personId="{93238EA4-A97E-43A0-A9D2-13620007081D}" id="{68F1E1F8-B1BE-4E30-9F9C-5DF5D229F2C8}">
    <text>_Kather</text>
  </threadedComment>
  <threadedComment ref="E25" dT="2023-10-10T10:02:41.27" personId="{93238EA4-A97E-43A0-A9D2-13620007081D}" id="{2A0A09D6-74E4-4B75-9468-8D6CFC5AA9DB}">
    <text xml:space="preserve">BEIM FRAND-EINWAND </text>
  </threadedComment>
  <threadedComment ref="E25" dT="2023-10-10T10:03:36.65" personId="{93238EA4-A97E-43A0-A9D2-13620007081D}" id="{24620492-C1B4-4783-87E7-C0C3D66379D9}" parentId="{2A0A09D6-74E4-4B75-9468-8D6CFC5AA9DB}">
    <text>(NO Kather version)</text>
  </threadedComment>
  <threadedComment ref="S25" dT="2023-11-23T17:06:18.97" personId="{93238EA4-A97E-43A0-A9D2-13620007081D}" id="{753E906D-DA6A-4715-BE87-B48D0658B120}">
    <text>Seite 8.</text>
  </threadedComment>
  <threadedComment ref="W25" dT="2023-11-23T17:32:02.77" personId="{93238EA4-A97E-43A0-A9D2-13620007081D}" id="{ECE222F2-FEA0-4D09-BB87-6353FAE3F855}">
    <text>Seite 8.</text>
  </threadedComment>
  <threadedComment ref="Y25" dT="2023-11-23T17:46:43.68" personId="{93238EA4-A97E-43A0-A9D2-13620007081D}" id="{97FFB6EF-A401-4E81-BF9B-16DF9C5CF5DB}">
    <text>Seite 36,  B.
Seite 39, III.
Seite 43, 3.</text>
  </threadedComment>
  <threadedComment ref="Z25" dT="2023-11-23T17:46:43.68" personId="{93238EA4-A97E-43A0-A9D2-13620007081D}" id="{C80100D7-74F4-46F1-8CD7-F5BE556F0AAD}">
    <text>Seite 36,  B.
Seite 39, III.</text>
  </threadedComment>
  <threadedComment ref="AA25" dT="2023-11-23T17:52:50.83" personId="{93238EA4-A97E-43A0-A9D2-13620007081D}" id="{97615FE6-6644-4A44-889E-E5734C339E89}">
    <text>Seite 39, III.
Seite 39, III. 1.</text>
  </threadedComment>
  <threadedComment ref="AB25" dT="2023-11-23T17:52:56.95" personId="{93238EA4-A97E-43A0-A9D2-13620007081D}" id="{596AA57F-A0D1-453C-826B-B210F61BB233}">
    <text>Seite 39, III.
Seite 40, 2.</text>
  </threadedComment>
  <threadedComment ref="AC25" dT="2023-11-23T17:46:43.68" personId="{93238EA4-A97E-43A0-A9D2-13620007081D}" id="{07935794-0C72-4175-B385-6F99CFA3C573}">
    <text>Seite 36,  B.
Seite 39, III.
Seite 43, 3.
Seite 49, d).</text>
  </threadedComment>
  <threadedComment ref="AD25" dT="2023-11-23T18:28:16.17" personId="{93238EA4-A97E-43A0-A9D2-13620007081D}" id="{E9D4C900-9CD9-47DD-8602-4BD62D3FE493}">
    <text>Seite 39, III.
Seite 39, III. 3.
Seite 49, d).</text>
  </threadedComment>
  <threadedComment ref="AD25" dT="2023-11-23T18:38:26.41" personId="{93238EA4-A97E-43A0-A9D2-13620007081D}" id="{1B58AE23-8210-4A56-BCF6-4FAEF9B7917F}" parentId="{E9D4C900-9CD9-47DD-8602-4BD62D3FE493}">
    <text>I found reasons for the content, but no mention of formal reasons to not treat is as a FRAND offer. Apparently the offer is not considered to be delayed.</text>
  </threadedComment>
  <threadedComment ref="AD25" dT="2023-12-05T22:12:19.50" personId="{93238EA4-A97E-43A0-A9D2-13620007081D}" id="{ED29C4B7-523C-413B-B50E-370B01CD2A80}" parentId="{E9D4C900-9CD9-47DD-8602-4BD62D3FE493}">
    <text>Mention that the offer of the plaintiff does not meet the FRAND criteria, which makes me believe it is more of a Non-Formal rather than a Non-Substantial.</text>
  </threadedComment>
  <threadedComment ref="AD25" dT="2023-12-15T12:32:41.23" personId="{93238EA4-A97E-43A0-A9D2-13620007081D}" id="{2235971C-5D5E-4A30-8686-C136770BA37B}" parentId="{E9D4C900-9CD9-47DD-8602-4BD62D3FE493}">
    <text>Used to be No?</text>
  </threadedComment>
  <threadedComment ref="AE25" dT="2023-11-23T18:02:30.40" personId="{93238EA4-A97E-43A0-A9D2-13620007081D}" id="{31C5E17B-C3EF-4E97-8F5D-E39FA746E084}">
    <text>Seite 50-52.</text>
  </threadedComment>
  <threadedComment ref="AE25" dT="2023-12-05T22:33:51.96" personId="{93238EA4-A97E-43A0-A9D2-13620007081D}" id="{864469EB-D333-4539-9B11-343F0BC6A0F9}" parentId="{31C5E17B-C3EF-4E97-8F5D-E39FA746E084}">
    <text>Some mention of the criteria: Top-Down approach.
Apparently the fees are too high.</text>
  </threadedComment>
  <threadedComment ref="AE25" dT="2023-12-15T12:32:51.17" personId="{93238EA4-A97E-43A0-A9D2-13620007081D}" id="{781C590F-5D7B-4E84-A1ED-8B011AAB4FF0}" parentId="{31C5E17B-C3EF-4E97-8F5D-E39FA746E084}">
    <text>Used to be No?</text>
  </threadedComment>
  <threadedComment ref="AG25" dT="2023-11-23T17:08:20.10" personId="{93238EA4-A97E-43A0-A9D2-13620007081D}" id="{B115F07B-1A0A-4A56-B3EE-14BB59A9FDEA}">
    <text>Seite 8.</text>
  </threadedComment>
  <threadedComment ref="AS25" dT="2023-11-29T15:13:01.72" personId="{93238EA4-A97E-43A0-A9D2-13620007081D}" id="{429854C5-7B0C-4B4B-A71B-14B4050D0F0B}">
    <text>In Darts they mention
29.05.2016</text>
  </threadedComment>
  <threadedComment ref="E26" dT="2023-10-10T10:11:20.41" personId="{93238EA4-A97E-43A0-A9D2-13620007081D}" id="{43666DED-7531-43D4-8AC6-6CF8906CB373}">
    <text>Mentions of Patent Holder position and maybe FRAND-Einwand</text>
  </threadedComment>
  <threadedComment ref="E26" dT="2023-10-10T10:11:32.50" personId="{93238EA4-A97E-43A0-A9D2-13620007081D}" id="{7937D20E-985E-4F4C-8D20-DCAFF690BBE7}" parentId="{43666DED-7531-43D4-8AC6-6CF8906CB373}">
    <text>[…] mangels Lizenzwilligkeit kein FRAND-Einwand zu</text>
  </threadedComment>
  <threadedComment ref="E26" dT="2023-10-10T10:11:49.37" personId="{93238EA4-A97E-43A0-A9D2-13620007081D}" id="{3DFD4B4D-B202-4D91-8319-DB9598B28CF7}" parentId="{43666DED-7531-43D4-8AC6-6CF8906CB373}">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S26" dT="2023-11-23T18:35:20.41" personId="{93238EA4-A97E-43A0-A9D2-13620007081D}" id="{2BE178FA-B8AF-46D3-A634-779DD04F17B8}">
    <text>Seite 4, 1.
two dates for contacts
29.03.2016 
06.03.2018</text>
  </threadedComment>
  <threadedComment ref="W26" dT="2023-11-23T18:35:20.41" personId="{93238EA4-A97E-43A0-A9D2-13620007081D}" id="{F805A726-D6B7-4204-B780-CDE6696E6BB0}">
    <text>Seite 4, 1.
No mention of the date of the offer, two dates for contacts
29.03.2016 
06.03.2018</text>
  </threadedComment>
  <threadedComment ref="Y26" dT="2023-11-23T18:37:26.15" personId="{93238EA4-A97E-43A0-A9D2-13620007081D}" id="{6548FB9E-BDDE-446B-9DD5-C2081CA60D68}">
    <text>Justus</text>
  </threadedComment>
  <threadedComment ref="Z26" dT="2023-11-22T16:36:14.90" personId="{93238EA4-A97E-43A0-A9D2-13620007081D}" id="{30F86032-25DB-44FD-BFC7-43E37815DED8}">
    <text>Justus</text>
  </threadedComment>
  <threadedComment ref="AA26" dT="2023-11-22T16:36:21.75" personId="{93238EA4-A97E-43A0-A9D2-13620007081D}" id="{643659E2-4C6F-4DCE-A11A-65C6C5543C61}">
    <text>Justus</text>
  </threadedComment>
  <threadedComment ref="AB26" dT="2023-11-22T16:36:27.15" personId="{93238EA4-A97E-43A0-A9D2-13620007081D}" id="{BC3021EB-84B2-4B2C-9E11-9BBE6E9852BA}">
    <text>Justus</text>
  </threadedComment>
  <threadedComment ref="AC26" dT="2023-11-22T16:36:31.71" personId="{93238EA4-A97E-43A0-A9D2-13620007081D}" id="{28EE8380-3487-44F8-8201-A801300D3C24}">
    <text>Justus</text>
  </threadedComment>
  <threadedComment ref="AD26" dT="2023-11-22T16:36:35.46" personId="{93238EA4-A97E-43A0-A9D2-13620007081D}" id="{F5F8CDD5-AED7-461E-AA64-7940E4653A28}">
    <text>Justus</text>
  </threadedComment>
  <threadedComment ref="AE26" dT="2023-11-22T16:36:39.15" personId="{93238EA4-A97E-43A0-A9D2-13620007081D}" id="{0AF583BC-EB75-4ADB-9290-46A033ECE4FF}">
    <text>Justus</text>
  </threadedComment>
  <threadedComment ref="AF26" dT="2023-11-22T16:36:42.82" personId="{93238EA4-A97E-43A0-A9D2-13620007081D}" id="{27933688-529F-4963-A2F6-1183B0514040}">
    <text>Justus</text>
  </threadedComment>
  <threadedComment ref="AG26" dT="2023-11-22T16:36:47.83" personId="{93238EA4-A97E-43A0-A9D2-13620007081D}" id="{D17E918F-54F0-4A2F-950C-E49C751057EB}">
    <text>Justus</text>
  </threadedComment>
  <threadedComment ref="S27" dT="2023-11-22T18:56:07.05" personId="{93238EA4-A97E-43A0-A9D2-13620007081D}" id="{70AE830D-9037-4E5A-9CBD-A0BF45D5A1A8}">
    <text>Seite 14.
Seite 47, II. 1.
Seite 48, b).</text>
  </threadedComment>
  <threadedComment ref="W27" dT="2023-11-22T18:57:43.88" personId="{93238EA4-A97E-43A0-A9D2-13620007081D}" id="{E7462449-A2B1-43B4-A6C1-F01CFE2E8B45}">
    <text>Seite 14.</text>
  </threadedComment>
  <threadedComment ref="Y27" dT="2023-11-22T19:03:51.32" personId="{93238EA4-A97E-43A0-A9D2-13620007081D}" id="{332B5C43-FCA3-4AF6-9803-E77C75835B63}">
    <text>Seite 47, II.</text>
  </threadedComment>
  <threadedComment ref="Z27" dT="2023-11-22T19:03:51.32" personId="{93238EA4-A97E-43A0-A9D2-13620007081D}" id="{7C793561-349D-48EB-99BC-876ABD0CFAAA}">
    <text>Seite 47, II.</text>
  </threadedComment>
  <threadedComment ref="Z27" dT="2023-11-22T19:10:46.39" personId="{93238EA4-A97E-43A0-A9D2-13620007081D}" id="{196344BF-4358-4528-8DBB-8EBE21172B85}" parentId="{7C793561-349D-48EB-99BC-876ABD0CFAAA}">
    <text>I would say NO, since even the existence of the Dominant position was not proven (nor denied), but you first need to have a dominant position to be able to then abuse it.</text>
  </threadedComment>
  <threadedComment ref="Z27" dT="2023-12-15T12:25:42.27" personId="{93238EA4-A97E-43A0-A9D2-13620007081D}" id="{B804A78E-C309-4D7B-BB1B-86C570778980}" parentId="{7C793561-349D-48EB-99BC-876ABD0CFAAA}">
    <text>Used to be No?</text>
  </threadedComment>
  <threadedComment ref="AA27" dT="2023-11-22T19:03:51.32" personId="{93238EA4-A97E-43A0-A9D2-13620007081D}" id="{E10BCF7F-90BE-4B32-839D-92C18BA57CDE}">
    <text>Seite 47, II. 1.</text>
  </threadedComment>
  <threadedComment ref="AB27" dT="2023-11-22T19:04:45.70" personId="{93238EA4-A97E-43A0-A9D2-13620007081D}" id="{33FD4864-4026-44AB-800D-0A7060724B91}">
    <text>Seite 47, II.</text>
  </threadedComment>
  <threadedComment ref="AC27" dT="2023-11-22T19:26:24.71" personId="{93238EA4-A97E-43A0-A9D2-13620007081D}" id="{B7101FB9-380A-40BD-B9B9-C3819D1BC23D}">
    <text>Could be that it was not cover because of the unwillingness (or lack of willingness to license) on the defendant side?</text>
  </threadedComment>
  <threadedComment ref="AD27" dT="2023-11-22T19:26:24.71" personId="{93238EA4-A97E-43A0-A9D2-13620007081D}" id="{72496DA0-D770-48F7-B134-3A2D20F18DF8}">
    <text>Could be that it was not cover because of the unwillingness (or lack of willingness to license) on the defendant side?</text>
  </threadedComment>
  <threadedComment ref="AE27" dT="2023-11-22T19:26:24.71" personId="{93238EA4-A97E-43A0-A9D2-13620007081D}" id="{8F601B0D-AD37-4508-9DD2-ACAE8C2E95DC}">
    <text>Could be that it was not cover because of the unwillingness (or lack of willingness to license) on the defendant side?</text>
  </threadedComment>
  <threadedComment ref="AF27" dT="2023-11-22T19:28:05.00" personId="{93238EA4-A97E-43A0-A9D2-13620007081D}" id="{FA452729-21F2-4D3F-9C9C-AC8D8066EC54}">
    <text>Seite 15.</text>
  </threadedComment>
  <threadedComment ref="AG27" dT="2023-11-22T19:28:33.09" personId="{93238EA4-A97E-43A0-A9D2-13620007081D}" id="{79FE8500-6511-4BC3-B801-8D72D0A0619B}">
    <text>Seite 7.
Seite 15.</text>
  </threadedComment>
  <threadedComment ref="AG27" dT="2023-12-15T12:36:07.34" personId="{93238EA4-A97E-43A0-A9D2-13620007081D}" id="{71FEDA99-A043-457D-ACEC-45A69E3B2E8B}" parentId="{79FE8500-6511-4BC3-B801-8D72D0A0619B}">
    <text>Used to be Yes?</text>
  </threadedComment>
  <threadedComment ref="AJ27" dT="2023-11-24T10:49:19.64" personId="{93238EA4-A97E-43A0-A9D2-13620007081D}" id="{CB444B42-B704-41CC-B358-3C2998F1B36D}">
    <text>Apparently, upheld (same winners and losers)</text>
  </threadedComment>
  <threadedComment ref="AS27" dT="2023-12-27T21:51:18.83" personId="{93238EA4-A97E-43A0-A9D2-13620007081D}" id="{CD7BD07C-5F8C-4AD2-93C8-4A7F40C84374}">
    <text>Darts</text>
  </threadedComment>
  <threadedComment ref="N28" dT="2023-11-16T17:51:44.28" personId="{93238EA4-A97E-43A0-A9D2-13620007081D}" id="{5DE5FFF7-4B4A-4F06-8FEE-D2EA893C3F86}">
    <text>09.09.2021</text>
  </threadedComment>
  <threadedComment ref="S28" dT="2023-11-16T12:00:24.84" personId="{93238EA4-A97E-43A0-A9D2-13620007081D}" id="{DD313215-8F23-4B49-BB04-A9F01CFE46D5}">
    <text>.113-.115</text>
  </threadedComment>
  <threadedComment ref="W28" dT="2023-11-16T12:07:39.59" personId="{93238EA4-A97E-43A0-A9D2-13620007081D}" id="{2C23597A-C1C3-4B8E-8BC7-5F2B10698D17}">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W28" dT="2023-12-07T19:24:47.55" personId="{93238EA4-A97E-43A0-A9D2-13620007081D}" id="{3868806C-BB23-4AC5-9324-CD806D858674}" parentId="{2C23597A-C1C3-4B8E-8BC7-5F2B10698D17}">
    <text>15.
Mentions an offer from 25.10.2019.</text>
  </threadedComment>
  <threadedComment ref="Y28" dT="2023-11-16T12:36:11.37" personId="{93238EA4-A97E-43A0-A9D2-13620007081D}" id="{173AD7E3-37D9-4723-808B-4AFB294DB41A}">
    <text>.109</text>
  </threadedComment>
  <threadedComment ref="Z28" dT="2023-11-16T12:36:03.21" personId="{93238EA4-A97E-43A0-A9D2-13620007081D}" id="{8BD9A6CB-D0DD-4195-8AC8-F5279250D84E}">
    <text>.108
.109</text>
  </threadedComment>
  <threadedComment ref="AA28" dT="2023-11-16T12:00:24.84" personId="{93238EA4-A97E-43A0-A9D2-13620007081D}" id="{B3C0DF3B-BBD5-45DD-A8D1-D4AD34BDB990}">
    <text>.113-.115
.120</text>
  </threadedComment>
  <threadedComment ref="AB28" dT="2023-11-16T12:13:28.68" personId="{93238EA4-A97E-43A0-A9D2-13620007081D}" id="{AA68C7F0-E46C-476C-9045-C2D561D11488}">
    <text>.93
.122
.126
.129
.133
.147
.158</text>
  </threadedComment>
  <threadedComment ref="AC28" dT="2023-11-16T12:52:52.93" personId="{93238EA4-A97E-43A0-A9D2-13620007081D}" id="{26189A36-12CF-40B8-833B-EE9BD884D1ED}">
    <text>.140-.141
Here they speak about a counteroffer, but repeat the unwillingness of the defendant.
I think they do not go over whether the offers were FRAND because fo the unwillingness of the defendant.</text>
  </threadedComment>
  <threadedComment ref="AC28" dT="2023-11-16T13:04:29.88" personId="{93238EA4-A97E-43A0-A9D2-13620007081D}" id="{8427C976-211D-42AE-8E89-F44C74C3DAAA}" parentId="{26189A36-12CF-40B8-833B-EE9BD884D1ED}">
    <text>.152
They compare the counteroffer to the offer, so apparently they did study it, but did not state clearly if it was FRAND or not.</text>
  </threadedComment>
  <threadedComment ref="AC28" dT="2023-11-16T18:20:07.07" personId="{93238EA4-A97E-43A0-A9D2-13620007081D}" id="{D16FD23A-F5B7-4015-BE84-7D4FE7BF9397}" parentId="{26189A36-12CF-40B8-833B-EE9BD884D1ED}">
    <text>.123</text>
  </threadedComment>
  <threadedComment ref="AD28" dT="2023-11-16T18:20:24.63" personId="{93238EA4-A97E-43A0-A9D2-13620007081D}" id="{6EA72CE3-6593-4A47-9042-2E4319A3D811}">
    <text>.123</text>
  </threadedComment>
  <threadedComment ref="AE28" dT="2023-11-16T18:20:30.61" personId="{93238EA4-A97E-43A0-A9D2-13620007081D}" id="{0922E0C7-44B8-4FB6-98F8-32EFC834B933}">
    <text>.123</text>
  </threadedComment>
  <threadedComment ref="AG28" dT="2023-11-16T13:14:44.63" personId="{93238EA4-A97E-43A0-A9D2-13620007081D}" id="{BA9EDA50-01A9-4C3C-B886-E8F68DF74FEF}">
    <text>There are talks about the defendant's products in Germany.</text>
  </threadedComment>
  <threadedComment ref="AP28" dT="2023-11-27T14:20:38.51" personId="{93238EA4-A97E-43A0-A9D2-13620007081D}" id="{8C2034B7-AD78-48EE-9321-8DC291F96A6F}">
    <text>They specify some claims (1-4, 7-9, 10-17)</text>
  </threadedComment>
  <threadedComment ref="AS28" dT="2023-11-29T15:21:03.09" personId="{93238EA4-A97E-43A0-A9D2-13620007081D}" id="{C95E86EF-7415-4AB0-8E64-E742A29AF738}">
    <text>Darts</text>
  </threadedComment>
  <threadedComment ref="Y29" dT="2023-11-17T12:34:25.66" personId="{93238EA4-A97E-43A0-A9D2-13620007081D}" id="{761A5474-9529-4236-8FCE-08CECFEA3CB2}">
    <text>Page 7, B.</text>
  </threadedComment>
  <threadedComment ref="Z29" dT="2023-11-17T12:34:31.08" personId="{93238EA4-A97E-43A0-A9D2-13620007081D}" id="{604B89DE-D753-46CA-B15A-EFBB343C1CA8}">
    <text>Page 7, B.
Page 8, II.</text>
  </threadedComment>
  <threadedComment ref="AA29" dT="2023-11-17T12:34:40.75" personId="{93238EA4-A97E-43A0-A9D2-13620007081D}" id="{4E83A58E-4D09-43D6-85CD-85E9F612A6BF}">
    <text>Page 7, B.</text>
  </threadedComment>
  <threadedComment ref="AB29" dT="2023-11-17T12:34:45.18" personId="{93238EA4-A97E-43A0-A9D2-13620007081D}" id="{C5F91382-A51D-48B9-88F4-AA5F43346683}">
    <text>Page 7, B.
Page 8, II.
Page 11, 2.</text>
  </threadedComment>
  <threadedComment ref="AG29" dT="2023-11-17T12:47:32.62" personId="{93238EA4-A97E-43A0-A9D2-13620007081D}" id="{50F8D0FE-530F-4418-8D6E-42E6CA49A793}">
    <text>Plaintiff is a global leader in mobile communications.
Page 3</text>
  </threadedComment>
  <threadedComment ref="AJ29" dT="2023-11-24T10:53:10.03" personId="{93238EA4-A97E-43A0-A9D2-13620007081D}" id="{0C85D065-B681-4CB4-9BD0-4663A42F9A51}">
    <text>Not provided by Darts, interpretation.
Der Antrag der Beklagten, die Zwangsvollstreckung aus dem Urteil des Landgerichts Mannheim vom 5. Juli 
2022, Az. 2 O 75/21, einstweilen einzustellen, wird zurückgewiesen.</text>
  </threadedComment>
  <threadedComment ref="AS29" dT="2023-12-27T21:53:36.89" personId="{93238EA4-A97E-43A0-A9D2-13620007081D}" id="{05DC0EA7-B36D-45E0-9648-332CDB72B5AB}">
    <text>Darts</text>
  </threadedComment>
  <threadedComment ref="E30" dT="2023-10-10T13:12:12.95" personId="{93238EA4-A97E-43A0-A9D2-13620007081D}" id="{93FB65F1-A8AE-425C-A319-A07985C516A0}">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E30" dT="2023-10-10T13:13:28.06" personId="{93238EA4-A97E-43A0-A9D2-13620007081D}" id="{7D1D3418-B7AE-4941-BA2C-A7F1D05E6170}" parentId="{93FB65F1-A8AE-425C-A319-A07985C516A0}">
    <text xml:space="preserve">Die Klage ist als derzeit unbegrundet abzuweisen, soweit die Klagerin von der Beklagten Unterlassung, Ruckruf und Entfernung aus den Vertriebswegen sowie die Vernichtung patentverletzender Produkte </text>
  </threadedComment>
  <threadedComment ref="S30" dT="2023-12-07T20:28:05.47" personId="{93238EA4-A97E-43A0-A9D2-13620007081D}" id="{5C3C4CB6-8457-4DD2-AAC6-3CCDF6053A4F}">
    <text>Seite 4-5.
Not actually on the 01 of November, just says November 2013.</text>
  </threadedComment>
  <threadedComment ref="W30" dT="2023-12-07T20:28:05.47" personId="{93238EA4-A97E-43A0-A9D2-13620007081D}" id="{F8457BBB-0BAE-41FA-BA0A-A9848E7C8FE2}">
    <text>Seite 4-5.
Not actually on the 01 of November, just says November 2013.
The date of the E-mail offer is REDACTED, but it is mentioned following the contact of November  from 2013.</text>
  </threadedComment>
  <threadedComment ref="Y30" dT="2023-11-17T17:10:17.51" personId="{93238EA4-A97E-43A0-A9D2-13620007081D}" id="{7C342666-B26B-403C-9977-CBBED95EBDF2}">
    <text>Seite 23, 1.</text>
  </threadedComment>
  <threadedComment ref="Z30" dT="2023-11-17T17:10:17.51" personId="{93238EA4-A97E-43A0-A9D2-13620007081D}" id="{705FF9C5-01E1-4547-8F24-431292BB224A}">
    <text>Seite 23, 2.</text>
  </threadedComment>
  <threadedComment ref="AA30" dT="2023-11-17T17:30:14.64" personId="{93238EA4-A97E-43A0-A9D2-13620007081D}" id="{5F39CE75-7B02-4C59-8B87-A6FA5F129528}">
    <text>Seite 26, aa)</text>
  </threadedComment>
  <threadedComment ref="AB30" dT="2023-11-17T17:38:46.43" personId="{93238EA4-A97E-43A0-A9D2-13620007081D}" id="{E9EA7940-9E67-4AD4-906F-2218E7397FCF}">
    <text>Seite 28, cc)</text>
  </threadedComment>
  <threadedComment ref="AC30" dT="2023-11-17T17:10:17.51" personId="{93238EA4-A97E-43A0-A9D2-13620007081D}" id="{BFD397D0-4817-4B00-B656-9A5B7DDA32ED}">
    <text>Seite 23, 2.
Seite 24, aa)
Seite 26, aa)
Seite 28, cc)</text>
  </threadedComment>
  <threadedComment ref="AD30" dT="2023-11-17T17:30:29.59" personId="{93238EA4-A97E-43A0-A9D2-13620007081D}" id="{6C548694-67E3-4F4B-9AA6-A57D5BAC8D30}">
    <text>Seite 26, aa)</text>
  </threadedComment>
  <threadedComment ref="AE30" dT="2023-11-17T17:30:29.59" personId="{93238EA4-A97E-43A0-A9D2-13620007081D}" id="{2C8AF8BB-BA7A-444C-970D-4D7DF9C9C981}">
    <text>Seite 26, aa)</text>
  </threadedComment>
  <threadedComment ref="AG30" dT="2023-11-17T23:24:02.13" personId="{93238EA4-A97E-43A0-A9D2-13620007081D}" id="{FA804282-A67F-457E-A06E-528A15AFD57E}">
    <text>Seite 3.
The plaintiff is a global company.</text>
  </threadedComment>
  <threadedComment ref="AP30" dT="2023-11-27T14:20:38.51" personId="{93238EA4-A97E-43A0-A9D2-13620007081D}" id="{B48BDD31-2C43-4771-9906-B5F0B06605A4}">
    <text>They specify some claims (1, 9, 10 &amp; 19)</text>
  </threadedComment>
  <threadedComment ref="E31" dT="2023-11-17T23:30:02.76" personId="{93238EA4-A97E-43A0-A9D2-13620007081D}" id="{E0E7265F-6E13-4C37-8E24-DAD5F48A85B3}">
    <text>I am NOT sure why I found it to be an injunction. While studying it more, I would say it may be a NO.</text>
  </threadedComment>
  <threadedComment ref="E31" dT="2023-11-20T13:55:27.31" personId="{93238EA4-A97E-43A0-A9D2-13620007081D}" id="{4BB46197-C2EF-4604-9F39-4D9208748438}" parentId="{E0E7265F-6E13-4C37-8E24-DAD5F48A85B3}">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E31" dT="2023-11-22T16:25:26.97" personId="{93238EA4-A97E-43A0-A9D2-13620007081D}" id="{A3C06943-3601-4F36-B061-A1BA7ACB3C78}" parentId="{E0E7265F-6E13-4C37-8E24-DAD5F48A85B3}">
    <text>Justus said YES</text>
  </threadedComment>
  <threadedComment ref="S31" dT="2023-11-16T21:19:44.20" personId="{93238EA4-A97E-43A0-A9D2-13620007081D}" id="{3FEB7CB6-AA8F-4B82-BEE2-24326B9857F2}">
    <text>Letter of July 2014 (after the complaint)
.215</text>
  </threadedComment>
  <threadedComment ref="W31" dT="2023-12-07T20:07:19.17" personId="{93238EA4-A97E-43A0-A9D2-13620007081D}" id="{078D766E-7C00-4E05-A9B9-E507CFF463E9}">
    <text>.83</text>
  </threadedComment>
  <threadedComment ref="Y31" dT="2023-11-16T20:06:04.41" personId="{93238EA4-A97E-43A0-A9D2-13620007081D}" id="{3E7EA171-BAEF-4F1D-A449-22FCF0C01A33}">
    <text>.186
.201
.242</text>
  </threadedComment>
  <threadedComment ref="Z31" dT="2023-11-16T20:06:10.80" personId="{93238EA4-A97E-43A0-A9D2-13620007081D}" id="{E8F3AC25-DE07-4181-81D3-533209D14AE2}">
    <text>.186
.202
.206
.209</text>
  </threadedComment>
  <threadedComment ref="AA31" dT="2023-11-16T20:47:02.36" personId="{93238EA4-A97E-43A0-A9D2-13620007081D}" id="{E9E6F090-9304-4077-8A91-00E3C45AF2F8}">
    <text>.207
v
.228
.239</text>
  </threadedComment>
  <threadedComment ref="AB31" dT="2023-11-16T20:03:46.40" personId="{93238EA4-A97E-43A0-A9D2-13620007081D}" id="{83FCE9E1-8B20-4F39-8AB2-5D9CDC528930}">
    <text>.82
.186
v
.206
.243</text>
  </threadedComment>
  <threadedComment ref="AC31" dT="2023-11-16T20:12:04.47" personId="{93238EA4-A97E-43A0-A9D2-13620007081D}" id="{F062CCD5-47D6-4522-9E44-9D94A312866B}">
    <text>.220</text>
  </threadedComment>
  <threadedComment ref="AC31" dT="2023-12-15T12:33:33.12" personId="{93238EA4-A97E-43A0-A9D2-13620007081D}" id="{9BD834C5-2C53-4127-9BF3-CE3B6C761679}" parentId="{F062CCD5-47D6-4522-9E44-9D94A312866B}">
    <text>Used to be Yes?</text>
  </threadedComment>
  <threadedComment ref="AD31" dT="2023-11-16T21:18:15.98" personId="{93238EA4-A97E-43A0-A9D2-13620007081D}" id="{2A8CA73E-062F-479E-9DE7-D8821BD08BF0}">
    <text>.207
v
.228
.239</text>
  </threadedComment>
  <threadedComment ref="AE31" dT="2023-11-16T21:22:14.44" personId="{93238EA4-A97E-43A0-A9D2-13620007081D}" id="{43934D66-E41E-417C-AB05-6A7052748D79}">
    <text>.221</text>
  </threadedComment>
  <threadedComment ref="AE31" dT="2023-11-22T16:35:51.69" personId="{93238EA4-A97E-43A0-A9D2-13620007081D}" id="{1088B803-EB26-4F06-B703-26CF433AEF0C}" parentId="{43934D66-E41E-417C-AB05-6A7052748D79}">
    <text>-
Justus</text>
  </threadedComment>
  <threadedComment ref="AF31" dT="2023-11-16T20:07:56.35" personId="{93238EA4-A97E-43A0-A9D2-13620007081D}" id="{42FA180C-70E4-4473-9F8D-72B8CB7CB8C5}">
    <text>.83
Only mention of a pool, and apparently it is a competing or not related offer.</text>
  </threadedComment>
  <threadedComment ref="AG31" dT="2023-11-16T20:08:33.23" personId="{93238EA4-A97E-43A0-A9D2-13620007081D}" id="{6DA23761-49B1-4700-AC58-419B4470BBC7}">
    <text>.43
.58
.219-.220</text>
  </threadedComment>
  <threadedComment ref="AJ31" dT="2023-11-24T10:10:48.23" personId="{93238EA4-A97E-43A0-A9D2-13620007081D}" id="{12DF9E45-A378-45FB-938C-8110365ADDEB}">
    <text>Apparently, there was no decision/outcome</text>
  </threadedComment>
  <threadedComment ref="AS31" dT="2023-12-27T22:01:32.39" personId="{93238EA4-A97E-43A0-A9D2-13620007081D}" id="{61FC6129-3ABA-4FD5-B632-C5F82DE3A30C}">
    <text>Darts</text>
  </threadedComment>
  <threadedComment ref="Y32" dT="2023-11-16T18:06:22.13" personId="{93238EA4-A97E-43A0-A9D2-13620007081D}" id="{207B801F-31D0-4C9C-A086-4F820F9ADB07}">
    <text>.108
.109</text>
  </threadedComment>
  <threadedComment ref="Z32" dT="2023-11-16T18:06:29.04" personId="{93238EA4-A97E-43A0-A9D2-13620007081D}" id="{FE31989E-86F2-4B00-A3A5-AA5EC650E1AA}">
    <text>.109</text>
  </threadedComment>
  <threadedComment ref="AA32" dT="2023-11-16T18:06:34.03" personId="{93238EA4-A97E-43A0-A9D2-13620007081D}" id="{B7DA0F0B-E204-4444-BDF2-2C70E82FC777}">
    <text>.109</text>
  </threadedComment>
  <threadedComment ref="AB32" dT="2023-11-16T18:06:39.49" personId="{93238EA4-A97E-43A0-A9D2-13620007081D}" id="{F58A42DF-7443-4C6A-9858-29EE53B6B800}">
    <text>.109
.117
.135</text>
  </threadedComment>
  <threadedComment ref="AC32" dT="2023-11-16T18:17:50.26" personId="{93238EA4-A97E-43A0-A9D2-13620007081D}" id="{C6D4D238-7894-4FC5-AC68-EC20F12208A9}">
    <text>.116</text>
  </threadedComment>
  <threadedComment ref="AD32" dT="2023-11-16T18:20:40.98" personId="{93238EA4-A97E-43A0-A9D2-13620007081D}" id="{2B2385BA-05F0-467B-AEBA-61F793465773}">
    <text>.116</text>
  </threadedComment>
  <threadedComment ref="AE32" dT="2023-11-16T18:20:45.68" personId="{93238EA4-A97E-43A0-A9D2-13620007081D}" id="{ABEE2949-8A88-4147-AB12-24042AD914E3}">
    <text>.116</text>
  </threadedComment>
  <threadedComment ref="AG32" dT="2023-11-16T18:22:10.46" personId="{93238EA4-A97E-43A0-A9D2-13620007081D}" id="{B2AABF7B-88DB-4638-9012-EBD94A99FC17}">
    <text>.137
.3</text>
  </threadedComment>
  <threadedComment ref="AG32" dT="2023-12-15T12:36:09.93" personId="{93238EA4-A97E-43A0-A9D2-13620007081D}" id="{BE44711D-0A69-4F02-911F-BD9D92236437}" parentId="{B2AABF7B-88DB-4638-9012-EBD94A99FC17}">
    <text>Used to be Yes?</text>
  </threadedComment>
  <threadedComment ref="AS32" dT="2023-12-27T22:03:07.06" personId="{93238EA4-A97E-43A0-A9D2-13620007081D}" id="{3E07184D-52FF-435F-BCB2-5DF5F2174D65}">
    <text>Darts</text>
  </threadedComment>
  <threadedComment ref="S33" dT="2023-11-16T19:11:58.68" personId="{93238EA4-A97E-43A0-A9D2-13620007081D}" id="{9D03BA9B-D146-4CB2-9142-BFE43E0CC808}">
    <text>A lot of mentions of 27.09.2019.
Could that be the date of first contact?</text>
  </threadedComment>
  <threadedComment ref="W33" dT="2023-11-16T19:11:58.68" personId="{93238EA4-A97E-43A0-A9D2-13620007081D}" id="{F49DDB79-A966-4B13-A2E9-514AD8DF682D}">
    <text>A lot of mentions of 27.09.2019.
Could that be the date of first contact?</text>
  </threadedComment>
  <threadedComment ref="W33" dT="2023-12-07T21:22:03.59" personId="{93238EA4-A97E-43A0-A9D2-13620007081D}" id="{26CE04F7-E00D-4A5E-85C1-CBA73553EE84}" parentId="{F49DDB79-A966-4B13-A2E9-514AD8DF682D}">
    <text>Offers redacted.</text>
  </threadedComment>
  <threadedComment ref="Y33" dT="2023-11-16T18:47:57.21" personId="{93238EA4-A97E-43A0-A9D2-13620007081D}" id="{640A6F64-90E1-4530-AA21-817436122B5B}">
    <text>.160</text>
  </threadedComment>
  <threadedComment ref="Z33" dT="2023-11-16T18:48:17.75" personId="{93238EA4-A97E-43A0-A9D2-13620007081D}" id="{FF28101F-2B3B-436A-AB9D-FDB5698B2840}">
    <text>.160</text>
  </threadedComment>
  <threadedComment ref="AA33" dT="2023-11-16T18:48:25.68" personId="{93238EA4-A97E-43A0-A9D2-13620007081D}" id="{23DA45D0-CF7A-48BB-9C0C-CF1D00DB3FA2}">
    <text>.160</text>
  </threadedComment>
  <threadedComment ref="AB33" dT="2023-11-16T18:57:25.74" personId="{93238EA4-A97E-43A0-A9D2-13620007081D}" id="{71588D51-8393-4AA4-B627-428465223A1D}">
    <text>.159</text>
  </threadedComment>
  <threadedComment ref="AC33" dT="2023-11-16T19:01:46.33" personId="{93238EA4-A97E-43A0-A9D2-13620007081D}" id="{8EDC881C-30B7-402A-9934-E55795459E62}">
    <text>.3
.168</text>
  </threadedComment>
  <threadedComment ref="AD33" dT="2023-11-16T19:01:46.33" personId="{93238EA4-A97E-43A0-A9D2-13620007081D}" id="{6E8A1B40-525C-4897-A93A-973BABA78DEF}">
    <text>.3
.168</text>
  </threadedComment>
  <threadedComment ref="AE33" dT="2023-11-16T19:01:46.33" personId="{93238EA4-A97E-43A0-A9D2-13620007081D}" id="{A37EF9FE-58EE-4ADA-BF47-D93EA9A0ADCC}">
    <text>.3
.168</text>
  </threadedComment>
  <threadedComment ref="AS33" dT="2023-11-29T15:22:00.91" personId="{93238EA4-A97E-43A0-A9D2-13620007081D}" id="{77A30FBC-0A3B-4BBA-A6DD-ECF5136311FB}">
    <text>Darts</text>
  </threadedComment>
  <threadedComment ref="S34" dT="2023-11-16T19:29:24.32" personId="{93238EA4-A97E-43A0-A9D2-13620007081D}" id="{8C4E2F3A-CA43-4A10-87B0-5C1B364A8DB4}">
    <text>.218
Does not say first of March, just March 2021.</text>
  </threadedComment>
  <threadedComment ref="S34" dT="2023-11-16T19:31:49.27" personId="{93238EA4-A97E-43A0-A9D2-13620007081D}" id="{34541295-3641-41F3-909A-33CB708FA52B}" parentId="{8C4E2F3A-CA43-4A10-87B0-5C1B364A8DB4}">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W34" dT="2023-11-16T19:29:24.32" personId="{93238EA4-A97E-43A0-A9D2-13620007081D}" id="{B12636DA-3367-4E46-8000-165A158D426A}">
    <text>.218
Does not say first of March, just March 2021.</text>
  </threadedComment>
  <threadedComment ref="W34" dT="2023-11-16T19:31:49.27" personId="{93238EA4-A97E-43A0-A9D2-13620007081D}" id="{C6BF2539-16E3-413E-A943-CCB9C97E7870}" parentId="{B12636DA-3367-4E46-8000-165A158D426A}">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Y34" dT="2023-11-16T19:15:11.15" personId="{93238EA4-A97E-43A0-A9D2-13620007081D}" id="{62525DBA-E842-4502-B0E7-2E7189929999}">
    <text>.147</text>
  </threadedComment>
  <threadedComment ref="Z34" dT="2023-11-16T19:15:57.66" personId="{93238EA4-A97E-43A0-A9D2-13620007081D}" id="{279AE4AD-3F7B-4A94-806E-9DF7C16D6A21}">
    <text>.148</text>
  </threadedComment>
  <threadedComment ref="AA34" dT="2023-11-16T19:16:06.40" personId="{93238EA4-A97E-43A0-A9D2-13620007081D}" id="{E8FE9379-E2FE-45CC-9EA5-6442610B6433}">
    <text>.148</text>
  </threadedComment>
  <threadedComment ref="AB34" dT="2023-11-16T19:15:20.34" personId="{93238EA4-A97E-43A0-A9D2-13620007081D}" id="{F834FC62-3BF0-4620-990F-E2B3CCD68B81}">
    <text>.147-.148</text>
  </threadedComment>
  <threadedComment ref="AC34" dT="2023-11-16T19:17:27.06" personId="{93238EA4-A97E-43A0-A9D2-13620007081D}" id="{3F317A96-995E-4F3C-B256-ED2E96047783}">
    <text>.146</text>
  </threadedComment>
  <threadedComment ref="AD34" dT="2023-11-16T19:17:27.06" personId="{93238EA4-A97E-43A0-A9D2-13620007081D}" id="{94464D30-535B-446D-8906-A69FB659B6DD}">
    <text>.146</text>
  </threadedComment>
  <threadedComment ref="AE34" dT="2023-11-16T19:17:27.06" personId="{93238EA4-A97E-43A0-A9D2-13620007081D}" id="{604015B3-3624-479F-9CE5-301B35A49D2B}">
    <text>.146</text>
  </threadedComment>
  <threadedComment ref="AF34" dT="2023-11-16T19:19:32.72" personId="{93238EA4-A97E-43A0-A9D2-13620007081D}" id="{9FDED2AD-6E19-4714-B389-DEA910F87BD2}">
    <text>.160</text>
  </threadedComment>
  <threadedComment ref="AP34" dT="2023-11-27T17:07:41.60" personId="{93238EA4-A97E-43A0-A9D2-13620007081D}" id="{384B7DEF-4C89-426B-8C29-FE5C8C48F961}">
    <text>Replacement of claims 1 and 11.</text>
  </threadedComment>
  <threadedComment ref="AS34" dT="2023-11-29T14:55:40.11" personId="{93238EA4-A97E-43A0-A9D2-13620007081D}" id="{717EAF44-80B1-48EB-AE36-32E62C95E609}">
    <text>Darts</text>
  </threadedComment>
  <threadedComment ref="AS34" dT="2023-11-29T14:56:18.84" personId="{93238EA4-A97E-43A0-A9D2-13620007081D}" id="{BD7BBCCB-C644-4078-9991-107801B9242C}" parentId="{717EAF44-80B1-48EB-AE36-32E62C95E609}">
    <text>Could be an old one, in Darts there is also a mention of 28.01.2021</text>
  </threadedComment>
  <threadedComment ref="S35" dT="2023-11-15T18:01:33.36" personId="{93238EA4-A97E-43A0-A9D2-13620007081D}" id="{65F36519-37F1-4B7C-8395-49F0E6D86C7E}">
    <text>.99
.147</text>
  </threadedComment>
  <threadedComment ref="W35" dT="2023-11-15T18:01:23.10" personId="{93238EA4-A97E-43A0-A9D2-13620007081D}" id="{55AD3A0E-21EF-49E1-AF5F-F63F3F879281}">
    <text>.99
.147</text>
  </threadedComment>
  <threadedComment ref="Y35" dT="2023-11-15T21:17:53.85" personId="{93238EA4-A97E-43A0-A9D2-13620007081D}" id="{683BD3A6-6578-457F-B03B-6EEFF5CF13AF}">
    <text>.122
.128</text>
  </threadedComment>
  <threadedComment ref="Z35" dT="2023-11-15T18:14:03.25" personId="{93238EA4-A97E-43A0-A9D2-13620007081D}" id="{0C6CBC3A-0569-476D-A95C-151FDB78D92C}">
    <text>.128</text>
  </threadedComment>
  <threadedComment ref="AA35" dT="2023-11-15T18:01:11.57" personId="{93238EA4-A97E-43A0-A9D2-13620007081D}" id="{4DAC637B-F74B-4518-BF22-3180F2DAD4F3}">
    <text>.99
.147</text>
  </threadedComment>
  <threadedComment ref="AB35" dT="2023-11-15T18:00:28.93" personId="{93238EA4-A97E-43A0-A9D2-13620007081D}" id="{90E97536-CB72-4B15-9570-3FBE1112BAA9}">
    <text>.99
.121
.130-.134
.149
.157</text>
  </threadedComment>
  <threadedComment ref="AC35" dT="2023-11-15T18:19:55.45" personId="{93238EA4-A97E-43A0-A9D2-13620007081D}" id="{A28C7A37-D5A6-494E-8CB8-09CE321F86BF}">
    <text>.127
.148
v
.257</text>
  </threadedComment>
  <threadedComment ref="AC35" dT="2023-12-15T12:30:29.11" personId="{93238EA4-A97E-43A0-A9D2-13620007081D}" id="{913C63B0-4530-48DB-B0EB-3260F1E32018}" parentId="{A28C7A37-D5A6-494E-8CB8-09CE321F86BF}">
    <text>Used to be Yes?</text>
  </threadedComment>
  <threadedComment ref="AD35" dT="2023-11-15T18:19:55.45" personId="{93238EA4-A97E-43A0-A9D2-13620007081D}" id="{93F0393E-2240-4EDB-BF06-140F980B6AE3}">
    <text>.127
.148
v
.257</text>
  </threadedComment>
  <threadedComment ref="AD35" dT="2023-12-15T12:30:35.46" personId="{93238EA4-A97E-43A0-A9D2-13620007081D}" id="{072CDF2D-437A-48E7-811F-77D20941D05E}" parentId="{93F0393E-2240-4EDB-BF06-140F980B6AE3}">
    <text>Used to be Yes?</text>
  </threadedComment>
  <threadedComment ref="AE35" dT="2023-11-15T18:19:55.45" personId="{93238EA4-A97E-43A0-A9D2-13620007081D}" id="{FC8A089C-2997-4DDB-8106-7818C35B37DB}">
    <text>.127
.148
v
.257</text>
  </threadedComment>
  <threadedComment ref="AE35" dT="2023-12-15T12:30:38.92" personId="{93238EA4-A97E-43A0-A9D2-13620007081D}" id="{703B58ED-95F5-436E-9422-6187B87FDB74}" parentId="{FC8A089C-2997-4DDB-8106-7818C35B37DB}">
    <text>Used to be Yes?</text>
  </threadedComment>
  <threadedComment ref="AF35" dT="2023-11-15T20:57:29.98" personId="{93238EA4-A97E-43A0-A9D2-13620007081D}" id="{206497A4-76D7-470B-AD2F-57A1A1B93B5B}">
    <text>.16
.98
.146
.149</text>
  </threadedComment>
  <threadedComment ref="AG35" dT="2023-11-15T21:01:52.60" personId="{93238EA4-A97E-43A0-A9D2-13620007081D}" id="{73512851-3F22-4EFC-AE6D-D90EFBD405D9}">
    <text>.144
And Avanci is the pool</text>
  </threadedComment>
  <threadedComment ref="AG35" dT="2023-12-15T12:36:14.57" personId="{93238EA4-A97E-43A0-A9D2-13620007081D}" id="{26D4459A-5CBA-4D62-96C0-68F5C5380D03}" parentId="{73512851-3F22-4EFC-AE6D-D90EFBD405D9}">
    <text>Used to be Yes?</text>
  </threadedComment>
  <threadedComment ref="AS35" dT="2023-12-27T22:06:20.82" personId="{93238EA4-A97E-43A0-A9D2-13620007081D}" id="{794B8060-3F8A-4B2B-8C51-F2AF0634A0BE}">
    <text>Darts</text>
  </threadedComment>
  <threadedComment ref="S36" dT="2023-11-15T12:28:19.42" personId="{93238EA4-A97E-43A0-A9D2-13620007081D}" id="{DBE253BE-AF64-4BBE-80A7-5845DDA2EE20}">
    <text>.22</text>
  </threadedComment>
  <threadedComment ref="W36" dT="2023-11-15T12:28:19.42" personId="{93238EA4-A97E-43A0-A9D2-13620007081D}" id="{ABE688B0-9C4E-4756-A264-DC08C69102C9}">
    <text>.22</text>
  </threadedComment>
  <threadedComment ref="Y36" dT="2023-11-15T12:34:49.83" personId="{93238EA4-A97E-43A0-A9D2-13620007081D}" id="{26B0930E-D173-4DAC-BED2-4542622C4B9F}">
    <text>.280</text>
  </threadedComment>
  <threadedComment ref="Z36" dT="2023-11-15T12:34:58.44" personId="{93238EA4-A97E-43A0-A9D2-13620007081D}" id="{8623A888-7CC2-4957-9920-32340E3C7CD5}">
    <text>.288
v
.290</text>
  </threadedComment>
  <threadedComment ref="Z36" dT="2023-12-15T12:26:26.87" personId="{93238EA4-A97E-43A0-A9D2-13620007081D}" id="{379AC0DC-AFA8-413D-80F0-6BC4FE2B6E81}" parentId="{8623A888-7CC2-4957-9920-32340E3C7CD5}">
    <text>Used to be Yes?</text>
  </threadedComment>
  <threadedComment ref="AA36" dT="2023-11-15T12:35:26.80" personId="{93238EA4-A97E-43A0-A9D2-13620007081D}" id="{1BA235EC-7A76-4CD0-A572-9B7BE56A27D6}">
    <text>.297</text>
  </threadedComment>
  <threadedComment ref="AB36" dT="2023-11-15T12:37:51.69" personId="{93238EA4-A97E-43A0-A9D2-13620007081D}" id="{06101EA1-7432-4726-8F69-C0065A321006}">
    <text>.305</text>
  </threadedComment>
  <threadedComment ref="AC36" dT="2023-11-15T12:38:01.18" personId="{93238EA4-A97E-43A0-A9D2-13620007081D}" id="{BB3B60CB-C675-4D3D-828C-30AD9DDC536B}">
    <text>.278
.321
.322
.418</text>
  </threadedComment>
  <threadedComment ref="AC36" dT="2023-11-15T12:47:36.93" personId="{93238EA4-A97E-43A0-A9D2-13620007081D}" id="{8414BE9F-CFF2-4680-871B-C9831B5DA800}" parentId="{BB3B60CB-C675-4D3D-828C-30AD9DDC536B}">
    <text>Previous offers (2012-2015) were not substantially FRAND (lack of explanation on how they were calculated) and the 2017 one (during litigation) was not formally FRAND (timing, too late, during litigation)</text>
  </threadedComment>
  <threadedComment ref="AD36" dT="2023-11-15T12:39:34.57" personId="{93238EA4-A97E-43A0-A9D2-13620007081D}" id="{6EFCDBFC-A684-404F-831C-5A81A424B998}">
    <text>.322
.342
.354
.375
.422
.449
.451</text>
  </threadedComment>
  <threadedComment ref="AD36" dT="2023-11-29T16:32:25.45" personId="{93238EA4-A97E-43A0-A9D2-13620007081D}" id="{57A58916-60B8-4B0E-A68D-84626A0C4250}" parentId="{6EFCDBFC-A684-404F-831C-5A81A424B998}">
    <text>Mentions of both, timing and lack of clarity for the calculations.</text>
  </threadedComment>
  <threadedComment ref="AE36" dT="2023-11-15T12:39:34.57" personId="{93238EA4-A97E-43A0-A9D2-13620007081D}" id="{71F4F368-F857-4F17-984C-635BFFAFF387}">
    <text>.322
.420</text>
  </threadedComment>
  <threadedComment ref="AE36" dT="2023-11-29T16:32:39.00" personId="{93238EA4-A97E-43A0-A9D2-13620007081D}" id="{4F1BC6D9-A2A4-445A-AB79-AA738A7052A0}" parentId="{71F4F368-F857-4F17-984C-635BFFAFF387}">
    <text>Mentions of both, timing and lack of clarity for the calculations.</text>
  </threadedComment>
  <threadedComment ref="AG36" dT="2023-11-15T13:02:39.72" personId="{93238EA4-A97E-43A0-A9D2-13620007081D}" id="{591C794C-CBB7-4BA1-9A7D-84B6A99E64DB}">
    <text>.26
.40
.44</text>
  </threadedComment>
  <threadedComment ref="AP36" dT="2023-11-27T18:02:14.73" personId="{93238EA4-A97E-43A0-A9D2-13620007081D}" id="{DA19761D-8780-4954-91DE-B545AC858EB9}">
    <text>Mention of claims 12-16.</text>
  </threadedComment>
  <threadedComment ref="O37" dT="2023-12-15T12:23:17.01" personId="{93238EA4-A97E-43A0-A9D2-13620007081D}" id="{4BE678D7-7B62-4577-BA39-F789DD56FCB4}">
    <text>Used to be ?
Then 1?</text>
  </threadedComment>
  <threadedComment ref="S37" dT="2023-11-15T13:05:07.38" personId="{93238EA4-A97E-43A0-A9D2-13620007081D}" id="{3297C1C8-FE32-4BD7-B4F1-435BE0AC11A4}">
    <text>.23</text>
  </threadedComment>
  <threadedComment ref="W37" dT="2023-11-15T13:05:07.38" personId="{93238EA4-A97E-43A0-A9D2-13620007081D}" id="{B4204844-7F7C-48BA-8027-8A0E691609EF}">
    <text>.23</text>
  </threadedComment>
  <threadedComment ref="Y37" dT="2023-11-15T13:07:24.29" personId="{93238EA4-A97E-43A0-A9D2-13620007081D}" id="{327D0410-ACF5-4493-9A42-07A05EF47F4C}">
    <text>.280</text>
  </threadedComment>
  <threadedComment ref="Z37" dT="2023-11-15T12:34:58.44" personId="{93238EA4-A97E-43A0-A9D2-13620007081D}" id="{A9E70471-0252-4B8E-8EEA-8A0B86649338}">
    <text>.288
v
.290</text>
  </threadedComment>
  <threadedComment ref="Z37" dT="2023-12-15T12:26:19.63" personId="{93238EA4-A97E-43A0-A9D2-13620007081D}" id="{1A9B88CB-DB97-4BCD-A9DE-84F20A819620}" parentId="{A9E70471-0252-4B8E-8EEA-8A0B86649338}">
    <text>Used to be Yes?</text>
  </threadedComment>
  <threadedComment ref="AA37" dT="2023-11-15T12:35:26.80" personId="{93238EA4-A97E-43A0-A9D2-13620007081D}" id="{C39E3FEB-91B7-472F-B37D-DABE0041E6DD}">
    <text>.297</text>
  </threadedComment>
  <threadedComment ref="AB37" dT="2023-11-15T12:37:51.69" personId="{93238EA4-A97E-43A0-A9D2-13620007081D}" id="{703B2099-4A73-47E6-B958-778363EEE7BE}">
    <text>.305</text>
  </threadedComment>
  <threadedComment ref="AC37" dT="2023-11-15T13:06:13.77" personId="{93238EA4-A97E-43A0-A9D2-13620007081D}" id="{50129832-456B-49EA-8C84-59095651758B}">
    <text>.278
.321
.322
.418</text>
  </threadedComment>
  <threadedComment ref="AD37" dT="2023-11-15T12:39:34.57" personId="{93238EA4-A97E-43A0-A9D2-13620007081D}" id="{2B182C5B-22FB-4B85-AD86-097330DA34FF}">
    <text>.322
.342
.354
.375
.422
.449
.451</text>
  </threadedComment>
  <threadedComment ref="AD37" dT="2023-11-29T16:32:28.81" personId="{93238EA4-A97E-43A0-A9D2-13620007081D}" id="{A291F062-B26F-448A-893B-972A5196DF91}" parentId="{2B182C5B-22FB-4B85-AD86-097330DA34FF}">
    <text>Mentions of both, timing and lack of clarity for the calculations.</text>
  </threadedComment>
  <threadedComment ref="AE37" dT="2023-11-15T12:39:34.57" personId="{93238EA4-A97E-43A0-A9D2-13620007081D}" id="{A922801C-39AE-433C-957F-D1B93102DCA0}">
    <text>.322
.420</text>
  </threadedComment>
  <threadedComment ref="AE37" dT="2023-11-29T16:32:33.57" personId="{93238EA4-A97E-43A0-A9D2-13620007081D}" id="{F42EBE9F-ACA5-4052-BD00-986E6B2078AE}" parentId="{A922801C-39AE-433C-957F-D1B93102DCA0}">
    <text>Mentions of both, timing and lack of clarity for the calculations.</text>
  </threadedComment>
  <threadedComment ref="AG37" dT="2023-11-15T13:02:39.72" personId="{93238EA4-A97E-43A0-A9D2-13620007081D}" id="{1B6F6C68-D29A-4382-8ECD-D66CADBFCD86}">
    <text>.26
.40
.44</text>
  </threadedComment>
  <threadedComment ref="AP37" dT="2023-11-27T18:02:14.73" personId="{93238EA4-A97E-43A0-A9D2-13620007081D}" id="{C6960B14-9A6D-465A-8F43-D9050A6D30B9}">
    <text>Mention of claims 12-16.</text>
  </threadedComment>
  <threadedComment ref="D38" dT="2023-11-22T16:26:16.53" personId="{93238EA4-A97E-43A0-A9D2-13620007081D}" id="{D1F1137E-468B-40F6-BEE2-C208688AF1C6}">
    <text>{the order here is reversed; the implementer successfully sues for a customs ban to be lifted}
Justus</text>
  </threadedComment>
  <threadedComment ref="E38" dT="2023-10-10T18:56:17.06" personId="{93238EA4-A97E-43A0-A9D2-13620007081D}" id="{5E4E8F6F-606C-43D4-9789-3DCE838E8B1B}">
    <text>.17
Der Antrag auf Erlass einer einstweiligen Verfügung ist zulässig (I.) und begründet (II). 
.29
.41</text>
  </threadedComment>
  <threadedComment ref="E38" dT="2023-10-10T18:56:31.43" personId="{93238EA4-A97E-43A0-A9D2-13620007081D}" id="{BC03550E-57BD-488D-8A06-19D93C985800}" parentId="{5E4E8F6F-606C-43D4-9789-3DCE838E8B1B}">
    <text>Bei den in § 33 Abs. 1 GWB geregelten Unterlassungs- und Beseitigungsansprüchen handelt
es sich um Ansprüche aus unerlaubter Handlung.</text>
  </threadedComment>
  <threadedComment ref="E38" dT="2023-11-22T16:27:12.97" personId="{93238EA4-A97E-43A0-A9D2-13620007081D}" id="{571922DA-8A7F-4FE3-9125-DABA34EF1C42}" parentId="{5E4E8F6F-606C-43D4-9789-3DCE838E8B1B}">
    <text>NO {the order here is reversed; the implementer successfully sues for a customs ban to be lifted}
Justus</text>
  </threadedComment>
  <threadedComment ref="M38" dT="2023-11-15T17:08:41.46" personId="{93238EA4-A97E-43A0-A9D2-13620007081D}" id="{D18CB940-09D4-45F4-9721-F0C2D0776C3A}">
    <text>.15</text>
  </threadedComment>
  <threadedComment ref="U38" dT="2023-11-15T17:09:19.58" personId="{93238EA4-A97E-43A0-A9D2-13620007081D}" id="{D857CAF7-E19C-443D-970A-7E2D38383CFF}">
    <text>.15</text>
  </threadedComment>
  <threadedComment ref="Y38" dT="2023-11-15T17:34:20.78" personId="{93238EA4-A97E-43A0-A9D2-13620007081D}" id="{31A2A35C-55F3-4B2F-A6A6-F617D7D34CD5}">
    <text>.15
.32</text>
  </threadedComment>
  <threadedComment ref="Z38" dT="2023-11-15T17:35:20.15" personId="{93238EA4-A97E-43A0-A9D2-13620007081D}" id="{09E97978-1016-4877-891D-A6EACF1A147D}">
    <text>.33</text>
  </threadedComment>
  <threadedComment ref="AC38" dT="2023-11-22T16:33:49.25" personId="{93238EA4-A97E-43A0-A9D2-13620007081D}" id="{6CC488B0-877B-4EA1-B24C-732FBB2F7715}">
    <text xml:space="preserve">NO
Justus </text>
  </threadedComment>
  <threadedComment ref="D39" dT="2023-10-10T18:59:53.09" personId="{93238EA4-A97E-43A0-A9D2-13620007081D}" id="{BD3FCE49-6D9F-4368-8E12-D77345524D9E}">
    <text xml:space="preserve">Die Klägerin hat zuletzt — nach teilweiser Rücknahme der Klage im Hinblick auf die Ansprüche auf Unterlassung, auf Rückruf/Entfernung aus den Vertriebswegen und auf Vernichtung sowie teilweiser Rücknahme des Rechnungsanspruchs im Hinblick auf die Gestehungskosten und den Gewinn — beantragt: </text>
  </threadedComment>
  <threadedComment ref="D39" dT="2023-11-22T16:28:54.51" personId="{93238EA4-A97E-43A0-A9D2-13620007081D}" id="{1DFE4EEE-9C5F-4835-9D45-15014ADB83D0}" parentId="{BD3FCE49-6D9F-4368-8E12-D77345524D9E}">
    <text>{retracted}
Justus</text>
  </threadedComment>
  <threadedComment ref="E39" dT="2023-11-22T16:29:12.68" personId="{93238EA4-A97E-43A0-A9D2-13620007081D}" id="{5C247FD9-A2AE-4138-94AD-AA72A347838B}">
    <text>{because retracted}
No?
Justus</text>
  </threadedComment>
  <threadedComment ref="E39" dT="2023-11-30T19:27:39.81" personId="{93238EA4-A97E-43A0-A9D2-13620007081D}" id="{0A539F9F-9B13-4A32-AF18-3789F8B664B2}" parentId="{5C247FD9-A2AE-4138-94AD-AA72A347838B}">
    <text>Changed to No for the graphs</text>
  </threadedComment>
  <threadedComment ref="Y39" dT="2023-11-22T16:32:49.53" personId="{93238EA4-A97E-43A0-A9D2-13620007081D}" id="{84F1FA65-247A-4FE6-A693-2357F8C0E5FC}">
    <text>{was not tested because action for injunctive relief retracted}
Justus</text>
  </threadedComment>
  <threadedComment ref="Z39" dT="2023-11-22T16:32:49.53" personId="{93238EA4-A97E-43A0-A9D2-13620007081D}" id="{44E58E5E-434A-45E2-BAA6-ED12AD9627FC}">
    <text>{was not tested because action for injunctive relief retracted}
Justus</text>
  </threadedComment>
  <threadedComment ref="AA39" dT="2023-11-22T16:32:49.53" personId="{93238EA4-A97E-43A0-A9D2-13620007081D}" id="{14FF0BC7-A3FC-4588-8F7B-D1B983BF5673}">
    <text>{was not tested because action for injunctive relief retracted}
Justus</text>
  </threadedComment>
  <threadedComment ref="AB39" dT="2023-11-22T16:32:49.53" personId="{93238EA4-A97E-43A0-A9D2-13620007081D}" id="{3349219C-C6EB-4C13-932F-D7156F365284}">
    <text>{was not tested because action for injunctive relief retracted}
Justus</text>
  </threadedComment>
  <threadedComment ref="AC39" dT="2023-11-22T16:32:49.53" personId="{93238EA4-A97E-43A0-A9D2-13620007081D}" id="{D7980DD2-86C7-4862-B4A5-EC316AB8BF6E}">
    <text>{was not tested because action for injunctive relief retracted}
Justus</text>
  </threadedComment>
  <threadedComment ref="AD39" dT="2023-11-22T16:32:49.53" personId="{93238EA4-A97E-43A0-A9D2-13620007081D}" id="{FCE9C9E7-A0B6-4E49-AA6C-C5A250ED233A}">
    <text>{was not tested because action for injunctive relief retracted}
Justus</text>
  </threadedComment>
  <threadedComment ref="AE39" dT="2023-11-22T16:32:49.53" personId="{93238EA4-A97E-43A0-A9D2-13620007081D}" id="{F4050829-ECBE-4DAE-9242-1FCF8FA6F27D}">
    <text>{was not tested because action for injunctive relief retracted}
Justus</text>
  </threadedComment>
  <threadedComment ref="AG39" dT="2023-11-20T14:21:01.28" personId="{93238EA4-A97E-43A0-A9D2-13620007081D}" id="{AE351F9A-17BE-426D-81B4-F5DBFE12A56E}">
    <text>Mention of the worlwide sales of the defendant. Seite 6</text>
  </threadedComment>
  <threadedComment ref="AS39" dT="2023-12-27T22:23:28.83" personId="{93238EA4-A97E-43A0-A9D2-13620007081D}" id="{52BA4B67-2E77-4AF9-BC74-BBBFC8763A3B}">
    <text>Darts</text>
  </threadedComment>
  <threadedComment ref="C40" dT="2023-10-10T19:16:26.64" personId="{93238EA4-A97E-43A0-A9D2-13620007081D}" id="{65CBC97A-1C38-4B3B-B6C6-39C6562E9535}">
    <text>Two dates. Latest decision (with same original complaint) was awarded an injunction</text>
  </threadedComment>
  <threadedComment ref="S40" dT="2023-11-20T18:57:14.65" personId="{93238EA4-A97E-43A0-A9D2-13620007081D}" id="{C50472F7-4D47-4403-B431-4B0855C07AA7}">
    <text>Lawsuit notification, most probably</text>
  </threadedComment>
  <threadedComment ref="W40" dT="2023-11-20T19:01:12.02" personId="{93238EA4-A97E-43A0-A9D2-13620007081D}" id="{1D48B6F2-C512-40FD-9DD7-9CEC16C8C51B}">
    <text>Seite 38, 4. a)</text>
  </threadedComment>
  <threadedComment ref="W40" dT="2023-11-20T19:03:20.38" personId="{93238EA4-A97E-43A0-A9D2-13620007081D}" id="{C65F5524-A773-49FB-94B4-ED5A0AE6ECCA}" parentId="{1D48B6F2-C512-40FD-9DD7-9CEC16C8C51B}">
    <text>Defendant's counter offer: 30.05.2014</text>
  </threadedComment>
  <threadedComment ref="X40" dT="2023-11-20T19:03:45.77" personId="{93238EA4-A97E-43A0-A9D2-13620007081D}" id="{AB8A4BFD-B7CF-4829-A77D-A53D2994688D}">
    <text>I would say it is the later date</text>
  </threadedComment>
  <threadedComment ref="Y40" dT="2023-11-20T14:32:03.99" personId="{93238EA4-A97E-43A0-A9D2-13620007081D}" id="{6EB991B9-E067-4DC7-96ED-35D336C7B4AA}">
    <text>Seite 19, III.</text>
  </threadedComment>
  <threadedComment ref="Z40" dT="2023-11-20T14:32:10.42" personId="{93238EA4-A97E-43A0-A9D2-13620007081D}" id="{D343255F-847F-4D6E-8499-F725EEA34BEF}">
    <text>Seite 19, III.</text>
  </threadedComment>
  <threadedComment ref="AA40" dT="2023-11-20T14:32:15.71" personId="{93238EA4-A97E-43A0-A9D2-13620007081D}" id="{86D504D6-2341-4191-972A-A37EC2DA99C2}">
    <text>Seite 19, III.
Transitional case, apparently before Huawei v ZTE, the offer was not required to have been made before the lawsuit.</text>
  </threadedComment>
  <threadedComment ref="AB40" dT="2023-11-20T18:15:12.73" personId="{93238EA4-A97E-43A0-A9D2-13620007081D}" id="{5CF8D17A-0CB0-4B99-8A1D-B6BE3E570FE8}">
    <text>Seite 21
Beide Seiten zeigen sich zwar im Grunde Willens, einen Lizenzvertrag abzuschließen</text>
  </threadedComment>
  <threadedComment ref="AC40" dT="2023-11-20T18:21:24.36" personId="{93238EA4-A97E-43A0-A9D2-13620007081D}" id="{9EAC1566-CBF9-4202-BAC5-88C5AE8DD480}">
    <text>Seite 35, e).</text>
  </threadedComment>
  <threadedComment ref="AD40" dT="2023-11-20T18:22:08.05" personId="{93238EA4-A97E-43A0-A9D2-13620007081D}" id="{85F926B5-3CA9-49A8-BFF9-F91561B02CF5}">
    <text>Though, it is a ransitional case, apparently before Huawei v ZTE, and the offer was not required to have been made before the lawsuit.
Seite 35, e).</text>
  </threadedComment>
  <threadedComment ref="AD40" dT="2023-12-15T12:30:59.75" personId="{93238EA4-A97E-43A0-A9D2-13620007081D}" id="{A17D5C5B-2E23-4E7D-B1A7-82395BC2D332}" parentId="{85F926B5-3CA9-49A8-BFF9-F91561B02CF5}">
    <text>Used to be Yes*</text>
  </threadedComment>
  <threadedComment ref="AE40" dT="2023-11-20T18:21:24.36" personId="{93238EA4-A97E-43A0-A9D2-13620007081D}" id="{E53AFF5A-16D9-4C84-9A51-33B955C0531E}">
    <text>Seite 35, e).</text>
  </threadedComment>
  <threadedComment ref="AF40" dT="2023-11-20T19:05:42.65" personId="{93238EA4-A97E-43A0-A9D2-13620007081D}" id="{B8A6B17E-9E02-471B-A708-92213B33AD82}">
    <text>Seite 5</text>
  </threadedComment>
  <threadedComment ref="AG40" dT="2023-11-20T18:21:24.36" personId="{93238EA4-A97E-43A0-A9D2-13620007081D}" id="{6962D191-5A58-4E39-AB0F-5754B1F7E3BF}">
    <text>Seite 35, e).
Seite 38, b).</text>
  </threadedComment>
  <threadedComment ref="AJ40" dT="2023-11-24T10:11:55.47" personId="{93238EA4-A97E-43A0-A9D2-13620007081D}" id="{C37F0342-CF31-4E5E-A91D-708A69520CFF}">
    <text>Reversed in part? No explicit mention, but both parties are recognised as winners.</text>
  </threadedComment>
  <threadedComment ref="AP40" dT="2023-11-27T18:15:07.25" personId="{93238EA4-A97E-43A0-A9D2-13620007081D}" id="{B6E4F74B-ED10-41E8-8DE1-5D82805F2291}">
    <text>Mention of the claims 5, 6, 7, 13, 14, 15 &amp; 19).</text>
  </threadedComment>
  <threadedComment ref="AP40" dT="2023-11-28T17:21:20.94" personId="{93238EA4-A97E-43A0-A9D2-13620007081D}" id="{F69D14BC-31A1-46FF-A120-D9DE8A029299}" parentId="{B6E4F74B-ED10-41E8-8DE1-5D82805F2291}">
    <text xml:space="preserve">INEFFECTIVE!
Die Entscheidung ist wirkungslos. Die Klage ist am 05.03.2018 und 05.10.2018 zurückgenommen worden. </text>
  </threadedComment>
  <threadedComment ref="AS40" dT="2023-11-29T15:23:26.13" personId="{93238EA4-A97E-43A0-A9D2-13620007081D}" id="{42DD2DB2-5146-4EE6-B0B0-26E68A56FE1E}">
    <text>Darts</text>
  </threadedComment>
  <threadedComment ref="C41" dT="2023-10-10T19:16:26.64" personId="{93238EA4-A97E-43A0-A9D2-13620007081D}" id="{95A2629F-055A-463B-93E3-C5EAD573E9CB}">
    <text>Two dates. Latest decision (with same original complaint) was awarded an injunction</text>
  </threadedComment>
  <threadedComment ref="S41" dT="2023-11-20T18:57:14.65" personId="{93238EA4-A97E-43A0-A9D2-13620007081D}" id="{38702FA9-95E1-42CC-9C58-D7AD2C7954D6}">
    <text>Lawsuit notification, most probably</text>
  </threadedComment>
  <threadedComment ref="W41" dT="2023-11-20T19:11:39.29" personId="{93238EA4-A97E-43A0-A9D2-13620007081D}" id="{C3066B8E-8631-49F0-B97C-5E546FB5EB25}">
    <text>Seite 6
Seite 35, d).</text>
  </threadedComment>
  <threadedComment ref="X41" dT="2023-11-20T19:13:01.97" personId="{93238EA4-A97E-43A0-A9D2-13620007081D}" id="{87A1BC98-4A06-47B8-BDC1-0A8F2AC24E37}">
    <text>I would say it is the later date</text>
  </threadedComment>
  <threadedComment ref="Y41" dT="2023-11-20T14:32:03.99" personId="{93238EA4-A97E-43A0-A9D2-13620007081D}" id="{34D2BEE6-B478-4F60-AF2B-10E6AD850F6F}">
    <text>Seite 20, III.</text>
  </threadedComment>
  <threadedComment ref="Z41" dT="2023-11-20T14:32:10.42" personId="{93238EA4-A97E-43A0-A9D2-13620007081D}" id="{D8A63E64-C5AD-45C4-A3EB-6226EA2176F6}">
    <text>Seite 20, III.</text>
  </threadedComment>
  <threadedComment ref="AA41" dT="2023-11-20T14:32:15.71" personId="{93238EA4-A97E-43A0-A9D2-13620007081D}" id="{EC81A276-427D-4672-9277-0C02D421FF6B}">
    <text>Seite 20, III.
Transitional case, apparently before Huawei v ZTE, the offer was not required to have been made before the lawsuit.</text>
  </threadedComment>
  <threadedComment ref="AB41" dT="2023-11-20T18:15:12.73" personId="{93238EA4-A97E-43A0-A9D2-13620007081D}" id="{26555C26-70FC-4BDE-84E5-A2976D257413}">
    <text>Seite 22
Beide Seiten zeigen sich zwar im Grunde Willens, einen Lizenzvertrag abzuschließen</text>
  </threadedComment>
  <threadedComment ref="AC41" dT="2023-11-20T18:21:24.36" personId="{93238EA4-A97E-43A0-A9D2-13620007081D}" id="{9324A699-AD5C-4775-87FD-A6F8F73BBBD0}">
    <text>Seite 36, e).</text>
  </threadedComment>
  <threadedComment ref="AD41" dT="2023-11-20T18:22:08.05" personId="{93238EA4-A97E-43A0-A9D2-13620007081D}" id="{E4334AC3-A9CF-48BC-905D-B9CD46C9E14C}">
    <text>Though, it is a ransitional case, apparently before Huawei v ZTE, and the offer was not required to have been made before the lawsuit.
Seite 36, e).</text>
  </threadedComment>
  <threadedComment ref="AD41" dT="2023-12-15T12:31:08.39" personId="{93238EA4-A97E-43A0-A9D2-13620007081D}" id="{25655213-530B-441D-A9EC-BF03F445F16B}" parentId="{E4334AC3-A9CF-48BC-905D-B9CD46C9E14C}">
    <text>Used to be Yes*</text>
  </threadedComment>
  <threadedComment ref="AE41" dT="2023-11-20T18:21:24.36" personId="{93238EA4-A97E-43A0-A9D2-13620007081D}" id="{7C68B184-A6BE-4BC9-86DC-D6F1DB3BC1BE}">
    <text>Seite 36, e).</text>
  </threadedComment>
  <threadedComment ref="AF41" dT="2023-11-20T19:05:42.65" personId="{93238EA4-A97E-43A0-A9D2-13620007081D}" id="{95699A66-523C-402B-A040-21444F92F5A0}">
    <text>Seite 5</text>
  </threadedComment>
  <threadedComment ref="AG41" dT="2023-11-20T18:21:24.36" personId="{93238EA4-A97E-43A0-A9D2-13620007081D}" id="{426269BC-B439-481E-9B0A-7C9AAC64A677}">
    <text>Seite 36, e).</text>
  </threadedComment>
  <threadedComment ref="AP41" dT="2023-11-27T18:15:07.25" personId="{93238EA4-A97E-43A0-A9D2-13620007081D}" id="{9E67DBA7-42CD-4711-9FE9-1B2B79B6B0EC}">
    <text>Mention of the claims 5, 6, 7, 13, 14, 15 &amp; 19).</text>
  </threadedComment>
  <threadedComment ref="AP41" dT="2023-11-28T17:21:37.96" personId="{93238EA4-A97E-43A0-A9D2-13620007081D}" id="{D06B33E9-7F19-48B7-A825-FB4FE1F7A255}" parentId="{9E67DBA7-42CD-4711-9FE9-1B2B79B6B0EC}">
    <text xml:space="preserve">INEFFECTIVE!
Die Entscheidung ist wirkungslos. Die Klage ist am 05.03.2018 und 05.10.2018 zurückgenommen worden. </text>
  </threadedComment>
  <threadedComment ref="AS41" dT="2023-11-29T15:23:26.13" personId="{93238EA4-A97E-43A0-A9D2-13620007081D}" id="{68E651B4-0E5B-4A80-8AD8-988ED267462B}">
    <text>Darts</text>
  </threadedComment>
  <threadedComment ref="S42" dT="2023-11-21T13:11:58.83" personId="{93238EA4-A97E-43A0-A9D2-13620007081D}" id="{D8F01618-E378-476B-9773-A25B6AC8DE3B}">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W42" dT="2023-11-21T13:16:21.96" personId="{93238EA4-A97E-43A0-A9D2-13620007081D}" id="{6242520F-5886-43BC-A3AC-8451305B27E0}">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Y42" dT="2023-11-21T12:41:19.49" personId="{93238EA4-A97E-43A0-A9D2-13620007081D}" id="{DF43F2D8-6C96-475C-B93F-54AF906A335D}">
    <text>Seite 23, 2.</text>
  </threadedComment>
  <threadedComment ref="Z42" dT="2023-11-21T12:43:20.87" personId="{93238EA4-A97E-43A0-A9D2-13620007081D}" id="{8B5883FF-1EC1-4B6D-857D-1015E6E5ABE0}">
    <text xml:space="preserve">Seite 27, bb).
Eine Indikation von Seiten der A SAS vor dem Schreiben vom 16.10.2015, auch nur einen Gesprächsfaden aufnehmen zu wollen, ist weder vorgetragen, noch ersichtlich. Angesichts dieser Umstände kann der Klägerin nicht vorgeworfen werden, sie würde durch die Erhebung der Klage eine marktbeherrschende Stellung missbrauchen und kartellrechtswidrigen Druck aufbauen </text>
  </threadedComment>
  <threadedComment ref="AB42" dT="2023-11-21T12:54:57.13" personId="{93238EA4-A97E-43A0-A9D2-13620007081D}" id="{AEF55E17-00D1-4DBD-AC61-76D68D814A05}">
    <text>Seite 30, d).</text>
  </threadedComment>
  <threadedComment ref="AC42" dT="2023-11-21T12:54:40.02" personId="{93238EA4-A97E-43A0-A9D2-13620007081D}" id="{0F868D68-C18E-43F1-9342-369DD298D03A}">
    <text>No need to go through the offer (FRAND or not) because the defendant was not a willing licensee.
Seite 30, d).</text>
  </threadedComment>
  <threadedComment ref="AD42" dT="2023-11-21T12:54:40.02" personId="{93238EA4-A97E-43A0-A9D2-13620007081D}" id="{83DE3443-701B-4359-A417-CDAC6556D5A0}">
    <text>Seite 30, d).</text>
  </threadedComment>
  <threadedComment ref="AE42" dT="2023-11-21T12:54:40.02" personId="{93238EA4-A97E-43A0-A9D2-13620007081D}" id="{89CCD304-5A5D-4E05-A03F-425A201699D5}">
    <text>Seite 30, d).</text>
  </threadedComment>
  <threadedComment ref="AG42" dT="2023-11-21T13:02:50.35" personId="{93238EA4-A97E-43A0-A9D2-13620007081D}" id="{53998905-7620-4B78-8A19-2DDC9CD80B79}">
    <text>Seite 4.
Die Klägerin ist ein weltweit operierendes Elektronikunternehmen, das u.a. auf dem Gebiet der Mobilfunktechnologie zahlreiche Patente hält. 
Seite 29, dd).</text>
  </threadedComment>
  <threadedComment ref="AG42" dT="2023-12-15T12:36:38.95" personId="{93238EA4-A97E-43A0-A9D2-13620007081D}" id="{C47D302D-548D-42D1-9EDF-85BBE6AB26F2}" parentId="{53998905-7620-4B78-8A19-2DDC9CD80B79}">
    <text>Used to be Yes?</text>
  </threadedComment>
  <threadedComment ref="AP42" dT="2023-11-27T14:20:38.51" personId="{93238EA4-A97E-43A0-A9D2-13620007081D}" id="{FB5A5662-B8B6-462D-A857-8C4530C0B236}">
    <text>They specify some claims (1, 2, 10-14)</text>
  </threadedComment>
  <threadedComment ref="AS42" dT="2023-11-29T15:14:37.93" personId="{93238EA4-A97E-43A0-A9D2-13620007081D}" id="{3D88C699-8DB7-4C56-ADC8-E017155A10BE}">
    <text>Darts</text>
  </threadedComment>
  <threadedComment ref="S43" dT="2023-11-21T13:18:58.25" personId="{93238EA4-A97E-43A0-A9D2-13620007081D}" id="{C3E39C0F-BA72-4543-BB27-23F1CA4E6D5F}">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W43" dT="2023-11-21T13:19:41.52" personId="{93238EA4-A97E-43A0-A9D2-13620007081D}" id="{6070B5E8-D321-415D-8506-9DF0DF6501D4}">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Y43" dT="2023-11-21T13:21:28.03" personId="{93238EA4-A97E-43A0-A9D2-13620007081D}" id="{65A01417-65CA-43B9-A015-EEAE8D8CEF62}">
    <text>Seite 27, I.</text>
  </threadedComment>
  <threadedComment ref="Z43" dT="2023-11-21T13:22:15.15" personId="{93238EA4-A97E-43A0-A9D2-13620007081D}" id="{AD75846A-2672-4D35-9C13-BE9A7F9AFD3F}">
    <text xml:space="preserve">Seite 31.
Angesichts dieser Umstände kann der Klägerin nicht vorgeworfen werden, sie würde durch die Erhebung der Klage eine marktbeherrschende Stellung missbrauchen und kartellrechtswidrigen Druck aufbauen. </text>
  </threadedComment>
  <threadedComment ref="AB43" dT="2023-11-21T13:23:49.64" personId="{93238EA4-A97E-43A0-A9D2-13620007081D}" id="{C3580CD2-350C-4B78-9A71-A2C72BC5121D}">
    <text>Seite 29, b).</text>
  </threadedComment>
  <threadedComment ref="AC43" dT="2023-11-21T13:23:49.64" personId="{93238EA4-A97E-43A0-A9D2-13620007081D}" id="{EFF682F4-7443-4620-8F37-AF4F5DB7E15C}">
    <text>No need to go through the offer (FRAND or not) because the defendant was not a willing licensee.
Seite 34, d).</text>
  </threadedComment>
  <threadedComment ref="AD43" dT="2023-11-21T13:23:49.64" personId="{93238EA4-A97E-43A0-A9D2-13620007081D}" id="{4E31A563-477E-4127-80CF-A8CB0E4B6DC1}">
    <text>Seite 34, d).</text>
  </threadedComment>
  <threadedComment ref="AE43" dT="2023-11-21T13:23:49.64" personId="{93238EA4-A97E-43A0-A9D2-13620007081D}" id="{76B9BED2-551F-449C-9E34-CD5AAFC1084B}">
    <text>Seite 34, d).</text>
  </threadedComment>
  <threadedComment ref="AG43" dT="2023-11-21T13:02:50.35" personId="{93238EA4-A97E-43A0-A9D2-13620007081D}" id="{92A53489-7A5E-409D-B241-B982661AEC06}">
    <text>Seite 4.
Die Klägerin ist ein weltweit operierendes Elektronikunternehmen, das u.a. auf dem Gebiet der Mobilfunktechnologie zahlreiche Patente hält. 
Seite 33, dd).</text>
  </threadedComment>
  <threadedComment ref="AG43" dT="2023-12-15T12:36:41.75" personId="{93238EA4-A97E-43A0-A9D2-13620007081D}" id="{0DA69FE9-1DB0-44B5-AB14-C7C3152AFC67}" parentId="{92A53489-7A5E-409D-B241-B982661AEC06}">
    <text>Used to be Yes?</text>
  </threadedComment>
  <threadedComment ref="AP43" dT="2023-11-27T18:29:19.63" personId="{93238EA4-A97E-43A0-A9D2-13620007081D}" id="{0400429E-9722-4427-B969-B47943577E5B}">
    <text>Replacement of claims 1 to 10.</text>
  </threadedComment>
  <threadedComment ref="S44" dT="2023-11-21T13:29:29.87" personId="{93238EA4-A97E-43A0-A9D2-13620007081D}" id="{4721B627-141F-4CBA-AE87-E8C6245C5484}">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W44" dT="2023-11-21T13:42:40.43" personId="{93238EA4-A97E-43A0-A9D2-13620007081D}" id="{4CAF9C74-A508-45A7-AC23-5F3B708A790D}">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Y44" dT="2023-11-21T13:43:38.56" personId="{93238EA4-A97E-43A0-A9D2-13620007081D}" id="{6F725F88-C3DC-4C7B-83E6-2FA8CD17D0D2}">
    <text>Seite 25, 2.</text>
  </threadedComment>
  <threadedComment ref="Z44" dT="2023-11-21T13:45:44.57" personId="{93238EA4-A97E-43A0-A9D2-13620007081D}" id="{7A2EE329-9981-4127-AF6A-98EAF162CA3F}">
    <text xml:space="preserve">Seite 30.
Angesichts dieser Umstände kann der Klägerin nicht vorgeworfen werden, sie würde durch die Erhebung der Klage eine marktbeherrschende Stellung missbrauchen und kartellrechtswidrigen Druck aufbauen. </text>
  </threadedComment>
  <threadedComment ref="AB44" dT="2023-11-21T13:46:44.76" personId="{93238EA4-A97E-43A0-A9D2-13620007081D}" id="{AAD5434A-9305-486A-B847-9E383B0A9558}">
    <text>Siete 33, d).</text>
  </threadedComment>
  <threadedComment ref="AC44" dT="2023-11-21T13:47:05.26" personId="{93238EA4-A97E-43A0-A9D2-13620007081D}" id="{4F4C28F7-DF5E-48DF-8800-B23688A9BC52}">
    <text>No need to go through the offer (FRAND or not) because the defendant was not a willing licensee.
Seite 33, d).</text>
  </threadedComment>
  <threadedComment ref="AD44" dT="2023-11-21T13:47:05.26" personId="{93238EA4-A97E-43A0-A9D2-13620007081D}" id="{A979EA58-05A0-4FD4-8DB7-4DA4A36BDCA2}">
    <text>Seite 33, d).</text>
  </threadedComment>
  <threadedComment ref="AE44" dT="2023-11-21T13:47:05.26" personId="{93238EA4-A97E-43A0-A9D2-13620007081D}" id="{B5CCBBDE-C2B0-4F03-85BB-46F2C2E1B577}">
    <text>Seite 33, d).</text>
  </threadedComment>
  <threadedComment ref="AG44" dT="2023-11-21T13:02:50.35" personId="{93238EA4-A97E-43A0-A9D2-13620007081D}" id="{6878A100-0012-436D-B0FC-26A02624FDE7}">
    <text>Seite 4.
Die Klägerin ist ein weltweit operierendes Elektronikunternehmen, das u.a. auf dem Gebiet der Mobilfunktechnologie zahlreiche Patente hält. 
Seite 32, dd).</text>
  </threadedComment>
  <threadedComment ref="AG44" dT="2023-12-15T12:36:45.97" personId="{93238EA4-A97E-43A0-A9D2-13620007081D}" id="{D8AE9DDC-2673-4E73-9B18-A3E3301030B1}" parentId="{6878A100-0012-436D-B0FC-26A02624FDE7}">
    <text>Used to be Yes?</text>
  </threadedComment>
  <threadedComment ref="E45" dT="2023-11-21T18:50:28.28" personId="{93238EA4-A97E-43A0-A9D2-13620007081D}" id="{87D1E195-CAB7-43AC-A9E6-F793840A9045}">
    <text>Siete 33, VI.</text>
  </threadedComment>
  <threadedComment ref="S45" dT="2023-11-21T13:55:46.11" personId="{93238EA4-A97E-43A0-A9D2-13620007081D}" id="{1D0B8B80-96A1-4C77-8DC1-005CF360D60F}">
    <text xml:space="preserve">Seite 6.
Not 01 of Juni.
Im Juni 2009 übermittelte die Klägerin an A eine Liste mit Patenten, die nach ihrer Auffassung für den UMTS-Standard essentiell sind, darunter auch das Klagepatent. </text>
  </threadedComment>
  <threadedComment ref="W45" dT="2023-11-21T13:56:12.61" personId="{93238EA4-A97E-43A0-A9D2-13620007081D}" id="{7D15FF35-6C78-4AE0-8C4E-412132A9048D}">
    <text>Seite 6.
Mit Email vom 17. September 2015 übersandte die Klägerin einen Lizenzvertragsentwurf an A gemeinsam mit einer aktualisierten Übersicht über ihr UMTS-/LTE_x0002_Patentportfolio nebst Claim-charts.</text>
  </threadedComment>
  <threadedComment ref="Y45" dT="2023-11-21T13:58:02.60" personId="{93238EA4-A97E-43A0-A9D2-13620007081D}" id="{50CF8117-4937-4023-BB7A-1566B600871F}">
    <text>Seite 24, V. 1.</text>
  </threadedComment>
  <threadedComment ref="Z45" dT="2023-11-22T16:31:04.44" personId="{93238EA4-A97E-43A0-A9D2-13620007081D}" id="{8E338628-572D-4817-9A2A-FB1EFBF9A91E}">
    <text>YES
Justus</text>
  </threadedComment>
  <threadedComment ref="AB45" dT="2023-11-21T18:45:33.41" personId="{93238EA4-A97E-43A0-A9D2-13620007081D}" id="{0B75DEFD-6EFF-4BE0-BDD1-EDC910FB311D}">
    <text>Seite 32, d).</text>
  </threadedComment>
  <threadedComment ref="AC45" dT="2023-11-21T18:48:38.47" personId="{93238EA4-A97E-43A0-A9D2-13620007081D}" id="{7E3C3834-90E3-4F70-8DFA-4D2818CEADBF}">
    <text>Seite 33.</text>
  </threadedComment>
  <threadedComment ref="AD45" dT="2023-11-21T18:59:00.36" personId="{93238EA4-A97E-43A0-A9D2-13620007081D}" id="{D8D6515D-E62A-45E2-A152-FB85A22B760E}">
    <text>Seite 31, c).</text>
  </threadedComment>
  <threadedComment ref="AE45" dT="2023-11-21T18:48:38.47" personId="{93238EA4-A97E-43A0-A9D2-13620007081D}" id="{85C81414-F00F-44C1-9813-5D57EA6A17D9}">
    <text>Seite 33.</text>
  </threadedComment>
  <threadedComment ref="AG45" dT="2023-11-21T19:12:15.41" personId="{93238EA4-A97E-43A0-A9D2-13620007081D}" id="{3D10BC6C-8EB6-4258-A7AA-85BE3B448440}">
    <text>Seite 3.
Seite 24, 4.</text>
  </threadedComment>
  <threadedComment ref="AP45" dT="2023-11-27T14:20:38.51" personId="{93238EA4-A97E-43A0-A9D2-13620007081D}" id="{EA98DEB3-31EC-49A4-9C04-0C9FE01600B4}">
    <text>They specify some claims (1, 9, 10 &amp; 19)</text>
  </threadedComment>
  <threadedComment ref="S46" dT="2023-11-21T20:16:10.48" personId="{93238EA4-A97E-43A0-A9D2-13620007081D}" id="{0DA2E549-7929-48DF-8914-10C7F2865292}">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W46" dT="2023-11-21T20:17:18.28" personId="{93238EA4-A97E-43A0-A9D2-13620007081D}" id="{D8900D72-25D4-4135-ACE8-E5E795FC76EE}">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 ref="Y46" dT="2023-11-21T20:22:38.30" personId="{93238EA4-A97E-43A0-A9D2-13620007081D}" id="{BF41718C-37D3-438C-867B-700E32205D44}">
    <text>Seite 32, E.</text>
  </threadedComment>
  <threadedComment ref="Z46" dT="2023-11-21T20:22:38.30" personId="{93238EA4-A97E-43A0-A9D2-13620007081D}" id="{B22F235B-A8FD-4F8F-A99A-94B6CF4A57C9}">
    <text>Seite 32, E.
Seite 32, E. I.
Seite 34, II.</text>
  </threadedComment>
  <threadedComment ref="AA46" dT="2023-11-21T20:23:58.07" personId="{93238EA4-A97E-43A0-A9D2-13620007081D}" id="{A624C72D-1EB0-435E-9FFC-60C82C483CD2}">
    <text>Seite 34, II. 2.
v
Seite 32, E.</text>
  </threadedComment>
  <threadedComment ref="AB46" dT="2023-11-21T20:32:59.53" personId="{93238EA4-A97E-43A0-A9D2-13620007081D}" id="{7E130F33-B8B5-4641-985E-A6B814F47E02}">
    <text>Seite 34, II. 1.</text>
  </threadedComment>
  <threadedComment ref="AC46" dT="2023-11-21T20:27:47.05" personId="{93238EA4-A97E-43A0-A9D2-13620007081D}" id="{9B216D45-3519-4534-8F68-7073E1686B1B}">
    <text>Seite 34, II. 2. a).
Seite 35, bb).</text>
  </threadedComment>
  <threadedComment ref="AD46" dT="2023-11-21T20:49:36.69" personId="{93238EA4-A97E-43A0-A9D2-13620007081D}" id="{79BF3DD7-17BD-424E-8B85-524608DA7006}">
    <text>Seite 33?
I found reasons for the content, but no mention of formal reasons to not treat is as a FRAND offer. Apparently the offer is not considered to be delayed.</text>
  </threadedComment>
  <threadedComment ref="AD46" dT="2023-12-05T23:24:26.74" personId="{93238EA4-A97E-43A0-A9D2-13620007081D}" id="{49277477-C82C-4C0C-B126-F84883D588B9}" parentId="{79BF3DD7-17BD-424E-8B85-524608DA7006}">
    <text>Seite 34, II. 2. a).</text>
  </threadedComment>
  <threadedComment ref="AD46" dT="2023-12-05T23:24:56.21" personId="{93238EA4-A97E-43A0-A9D2-13620007081D}" id="{36A8D0B8-A29C-40AA-98BB-9B4D5F3167A0}" parentId="{79BF3DD7-17BD-424E-8B85-524608DA7006}">
    <text>Mention that the offer of the plaintiff does not meet the FRAND criteria, which makes me believe it is more of a Non-Formal rather than a Non-Substantial.</text>
  </threadedComment>
  <threadedComment ref="AD46" dT="2023-12-05T23:35:57.67" personId="{93238EA4-A97E-43A0-A9D2-13620007081D}" id="{2868A64E-1018-416A-B6E0-FA89E0E2B3BE}" parentId="{79BF3DD7-17BD-424E-8B85-524608DA7006}">
    <text>Seite 35, bb).
They identify a paragraph from the offer to be fair nor appropriate. That seems to be more formal than substantial.</text>
  </threadedComment>
  <threadedComment ref="AE46" dT="2023-11-21T20:32:35.81" personId="{93238EA4-A97E-43A0-A9D2-13620007081D}" id="{19CF3F93-55A8-4BAF-9003-B021E507A2E7}">
    <text>Seite 33.
Seite 34, II. 2.</text>
  </threadedComment>
  <threadedComment ref="AG46" dT="2023-11-21T20:29:05.43" personId="{93238EA4-A97E-43A0-A9D2-13620007081D}" id="{6302D8D7-A32A-4DCF-BD5C-C7F27C48BB96}">
    <text>Seite 37, (4)</text>
  </threadedComment>
</ThreadedComments>
</file>

<file path=xl/threadedComments/threadedComment5.xml><?xml version="1.0" encoding="utf-8"?>
<ThreadedComments xmlns="http://schemas.microsoft.com/office/spreadsheetml/2018/threadedcomments" xmlns:x="http://schemas.openxmlformats.org/spreadsheetml/2006/main">
  <threadedComment ref="B1" dT="2023-10-10T18:56:17.06" personId="{93238EA4-A97E-43A0-A9D2-13620007081D}" id="{EDDFF372-CD93-4DF0-972E-763D987ED9E2}">
    <text xml:space="preserve">Der Antrag auf Erlass einer einstweiligen Verfügung ist zulässig (I.) und begründet (II). </text>
  </threadedComment>
  <threadedComment ref="B1" dT="2023-10-10T18:56:31.43" personId="{93238EA4-A97E-43A0-A9D2-13620007081D}" id="{C256F3D7-C5F4-49A7-8C7B-0895F5F67F79}" parentId="{EDDFF372-CD93-4DF0-972E-763D987ED9E2}">
    <text>Bei den in § 33 Abs. 1 GWB geregelten Unterlassungs- und Beseitigungsansprüchen handelt
es sich um Ansprüche aus unerlaubter Handlung.</text>
  </threadedComment>
  <threadedComment ref="C1" dT="2023-10-10T10:11:20.41" personId="{93238EA4-A97E-43A0-A9D2-13620007081D}" id="{66FD8162-B778-45A5-ACB4-ABA69E538C05}">
    <text>Mentions of Patent Holder position and maybe FRAND-Einwand</text>
  </threadedComment>
  <threadedComment ref="C1" dT="2023-10-10T10:11:32.50" personId="{93238EA4-A97E-43A0-A9D2-13620007081D}" id="{2A0C9F18-2A43-4452-9EE2-575536BF07E3}" parentId="{66FD8162-B778-45A5-ACB4-ABA69E538C05}">
    <text>[…] mangels Lizenzwilligkeit kein FRAND-Einwand zu</text>
  </threadedComment>
  <threadedComment ref="C1" dT="2023-10-10T10:11:49.37" personId="{93238EA4-A97E-43A0-A9D2-13620007081D}" id="{052AD849-4BA4-45B0-B05D-A25D9EA46E02}" parentId="{66FD8162-B778-45A5-ACB4-ABA69E538C05}">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X1" dT="2023-10-10T18:56:17.06" personId="{93238EA4-A97E-43A0-A9D2-13620007081D}" id="{07111C3F-D031-45ED-9BC1-4520F3AC3AC0}">
    <text xml:space="preserve">Der Antrag auf Erlass einer einstweiligen Verfügung ist zulässig (I.) und begründet (II). </text>
  </threadedComment>
  <threadedComment ref="X1" dT="2023-10-10T18:56:31.43" personId="{93238EA4-A97E-43A0-A9D2-13620007081D}" id="{4322A743-7B5A-47DA-968E-44EF0F713A74}" parentId="{07111C3F-D031-45ED-9BC1-4520F3AC3AC0}">
    <text>Bei den in § 33 Abs. 1 GWB geregelten Unterlassungs- und Beseitigungsansprüchen handelt
es sich um Ansprüche aus unerlaubter Handlung.</text>
  </threadedComment>
  <threadedComment ref="Y1" dT="2023-10-10T10:11:20.41" personId="{93238EA4-A97E-43A0-A9D2-13620007081D}" id="{7CAEA0D8-6BB1-402E-B87E-42F6D111A15D}">
    <text>Mentions of Patent Holder position and maybe FRAND-Einwand</text>
  </threadedComment>
  <threadedComment ref="Y1" dT="2023-10-10T10:11:32.50" personId="{93238EA4-A97E-43A0-A9D2-13620007081D}" id="{7FF63866-A570-422A-8193-11ADA31364BE}" parentId="{7CAEA0D8-6BB1-402E-B87E-42F6D111A15D}">
    <text>[…] mangels Lizenzwilligkeit kein FRAND-Einwand zu</text>
  </threadedComment>
  <threadedComment ref="Y1" dT="2023-10-10T10:11:49.37" personId="{93238EA4-A97E-43A0-A9D2-13620007081D}" id="{2F274EEA-58D0-46B1-8D51-5088050B7337}" parentId="{7CAEA0D8-6BB1-402E-B87E-42F6D111A15D}">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AM2" dT="2023-11-30T21:08:56.59" personId="{93238EA4-A97E-43A0-A9D2-13620007081D}" id="{B607CFBB-3F78-47FD-B388-682D9117A20D}">
    <text>Hardcoded</text>
  </threadedComment>
  <threadedComment ref="AN6" dT="2023-11-30T21:08:49.98" personId="{93238EA4-A97E-43A0-A9D2-13620007081D}" id="{0DF9FD58-AD09-4ED3-AE3C-24B2AF682156}">
    <text>Hardcoded</text>
  </threadedComment>
  <threadedComment ref="AG10" dT="2023-10-08T16:14:54.91" personId="{93238EA4-A97E-43A0-A9D2-13620007081D}" id="{DCD685DC-4274-4123-BDEE-0BFE01FEEA3B}">
    <text>Check</text>
  </threadedComment>
  <threadedComment ref="AH10" dT="2023-10-08T16:14:54.91" personId="{93238EA4-A97E-43A0-A9D2-13620007081D}" id="{E69A17D2-EBAF-4E57-B8CC-A0F2835936DA}">
    <text>Check</text>
  </threadedComment>
  <threadedComment ref="AF13" dT="2023-10-10T09:25:17.72" personId="{93238EA4-A97E-43A0-A9D2-13620007081D}" id="{BDBCFF0F-26C4-47AC-9623-88DD675AB585}">
    <text xml:space="preserve">Die Klägerin macht – nachdem die Parteien den Rechtsstreit übereinstimmend im Hinblick auf den ursprünglich auch geltend gemachten Unterlassungsanspruch teilweise für erledigt erklärt haben – </text>
  </threadedComment>
  <threadedComment ref="AF13" dT="2023-11-22T16:37:59.82" personId="{93238EA4-A97E-43A0-A9D2-13620007081D}" id="{0F539D1B-E409-4B5E-A308-8310A0E9999E}" parentId="{BDBCFF0F-26C4-47AC-9623-88DD675AB585}">
    <text>(patent expired, so no injunction issued; but court is explicit in that plaintiff had a right to request the injunction when it did)
Justus</text>
  </threadedComment>
  <threadedComment ref="AG13" dT="2023-10-08T16:15:33.03" personId="{93238EA4-A97E-43A0-A9D2-13620007081D}" id="{52D53C8D-94B1-4B6A-856A-E75AAD34E289}">
    <text>check</text>
  </threadedComment>
  <threadedComment ref="AG13" dT="2023-10-10T09:27:52.13" personId="{93238EA4-A97E-43A0-A9D2-13620007081D}" id="{B764CB64-9001-429E-A666-CFED0E51249B}" parentId="{52D53C8D-94B1-4B6A-856A-E75AAD34E289}">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AH13" dT="2023-10-08T16:15:33.03" personId="{93238EA4-A97E-43A0-A9D2-13620007081D}" id="{A97C5751-A0A0-46FF-B338-ED28055DCCFB}">
    <text>check</text>
  </threadedComment>
  <threadedComment ref="AH13" dT="2023-10-10T09:27:52.13" personId="{93238EA4-A97E-43A0-A9D2-13620007081D}" id="{EA96C473-839F-45BA-856D-5023C794E988}" parentId="{A97C5751-A0A0-46FF-B338-ED28055DCCFB}">
    <text xml:space="preserve">Der Streitwert war – bis zur Erledigung des Unterlassungsanspruchs – endgültig auf EUR 30.000.000,00 und ab diesem Zeitpunkt auf EUR 10.000.000,00 hochzusetzen. Denn nur das klägerische Interesse – nicht das des gesamten Patentpools – beläuft sich auf USD 100.000.000,00 Lizenzschulden. Damit ist letztlich nur das Interesse im Hinblick auf die Feststellung des Schadensersatzes adressiert. Unter Berücksichtigung der weiteren Ansprüche auf Unterlassung und Auskunft erscheint der vorläufig festgesetzte Streitwert in Höhe von EUR 5.000.000,00 als weit untersetzt </text>
  </threadedComment>
  <threadedComment ref="D35" dT="2023-10-10T13:00:23.57" personId="{93238EA4-A97E-43A0-A9D2-13620007081D}" id="{C466A185-D23D-41F5-97F3-25F696544904}">
    <text xml:space="preserve">BESCHLUSSVERFÜGUNG ZUM GEHEIMNISSCHUTZ IN DEUTSCHEN VERLETZUNGSPROZESSEN. UNTERLASSUNGSVERTRAG AUS SEP PROZESS VERHINDERT, DASS UMFASSTE INFORMATIONEN IN PARALLELVERFAHREN EINGEFÜHRT WERDEN KÖNNEN. </text>
  </threadedComment>
  <threadedComment ref="D35" dT="2023-11-22T16:23:47.62" personId="{93238EA4-A97E-43A0-A9D2-13620007081D}" id="{A4AAAD58-3705-4279-97FB-E21CF11CD64D}" parentId="{C466A185-D23D-41F5-97F3-25F696544904}">
    <text>NO</text>
  </threadedComment>
  <threadedComment ref="Q36" dT="2023-11-15T21:14:12.77" personId="{93238EA4-A97E-43A0-A9D2-13620007081D}" id="{F5560981-2F1C-4D60-9D80-D75488684441}">
    <text xml:space="preserve">V. Das Urteil ist vorläufig vollstreckbar gegen Sicherheitsleistung in Höhe von
- einheitlich 5.500.000 € für Ziffern I. 1., I. 3. und I. 4,
- 550.000 € für Ziffern I. 2.1 und I. 2.2. sowie
- 110% des jeweils zu vollstreckenden Betrages für Ziffer IV.
VI. Die Anträge auf Urkundenvorlage werden zurückgewiesen.
VII. Der Streitwert wird bis zum 19. September 2019 auf 300.000 €, für die Zeit nach dem
20. September 2019 auf 1.000.000 € und für die Zeit nach dem 6. Juli 2020 auf 500.000 € festgesetzt.
Der Gegenstandswert für die ehemalige Nebenintervention der H. wird auf 500.000 € festgesetzt.
Die Gegenstandswerte für die übrigen Nebeninterventionen werden jeweils auf 500.000 € festgesetzt.
</text>
  </threadedComment>
  <threadedComment ref="S36" dT="2023-11-15T18:01:33.36" personId="{93238EA4-A97E-43A0-A9D2-13620007081D}" id="{1BF66659-1183-44A7-B215-7BA88CA48F5D}">
    <text>.99
.147</text>
  </threadedComment>
  <threadedComment ref="V36" dT="2023-11-15T18:01:23.10" personId="{93238EA4-A97E-43A0-A9D2-13620007081D}" id="{54E97819-B871-46FA-82AF-AFF242877D60}">
    <text>.99
.147</text>
  </threadedComment>
  <threadedComment ref="X36" dT="2023-11-15T21:17:53.85" personId="{93238EA4-A97E-43A0-A9D2-13620007081D}" id="{B84E0BEA-F15B-4BDF-A991-AE4231521BBD}">
    <text>.122
.128</text>
  </threadedComment>
  <threadedComment ref="Y36" dT="2023-11-15T18:14:03.25" personId="{93238EA4-A97E-43A0-A9D2-13620007081D}" id="{0CA0683F-3138-45E4-9C9C-ECD3E741D26C}">
    <text>.128</text>
  </threadedComment>
  <threadedComment ref="Z36" dT="2023-11-15T18:01:11.57" personId="{93238EA4-A97E-43A0-A9D2-13620007081D}" id="{196D9FD7-8CD7-4015-8E4C-2BB5379F2E6F}">
    <text>.99
.147</text>
  </threadedComment>
  <threadedComment ref="AA36" dT="2023-11-15T18:00:28.93" personId="{93238EA4-A97E-43A0-A9D2-13620007081D}" id="{C4DC86C9-EB48-439D-8A26-0FD3BEACD03F}">
    <text>.99
.121
.130-.134
.149
.157</text>
  </threadedComment>
  <threadedComment ref="AB36" dT="2023-11-15T18:19:55.45" personId="{93238EA4-A97E-43A0-A9D2-13620007081D}" id="{650FA1EE-E4E7-4F7C-BA5B-0A9776152DC0}">
    <text>.127
.148
v
.257</text>
  </threadedComment>
  <threadedComment ref="AC36" dT="2023-11-15T18:19:55.45" personId="{93238EA4-A97E-43A0-A9D2-13620007081D}" id="{FD196DFD-1218-415B-8818-437D63685F33}">
    <text>.127
.148
v
.257</text>
  </threadedComment>
  <threadedComment ref="AD36" dT="2023-11-15T18:19:55.45" personId="{93238EA4-A97E-43A0-A9D2-13620007081D}" id="{24916E09-6841-4EE6-AD3A-80B6C6C2A3FF}">
    <text>.127
.148
v
.257</text>
  </threadedComment>
  <threadedComment ref="AE36" dT="2023-11-15T20:57:29.98" personId="{93238EA4-A97E-43A0-A9D2-13620007081D}" id="{D784AC77-7234-46C3-98C1-D237D17D532C}">
    <text>.16
.98
.146
.149</text>
  </threadedComment>
  <threadedComment ref="AF36" dT="2023-11-15T21:01:52.60" personId="{93238EA4-A97E-43A0-A9D2-13620007081D}" id="{B0E727F0-EAD4-4B65-928A-CEA31E6DA2F0}">
    <text>.144
And Avanci is the pool</text>
  </threadedComment>
  <threadedComment ref="A37" dT="2023-11-24T15:17:20.56" personId="{93238EA4-A97E-43A0-A9D2-13620007081D}" id="{CCD5ECBC-950E-4A4B-9179-E50BAA44DAEC}">
    <text>Proportionality defense</text>
  </threadedComment>
  <threadedComment ref="A37" dT="2023-11-24T15:19:17.75" personId="{93238EA4-A97E-43A0-A9D2-13620007081D}" id="{26FF269A-D359-4032-87ED-EA9D71BFDBB5}" parentId="{CCD5ECBC-950E-4A4B-9179-E50BAA44DAEC}">
    <text>No FRAND defense</text>
  </threadedComment>
  <threadedComment ref="AI38" dT="2023-11-24T10:49:19.64" personId="{93238EA4-A97E-43A0-A9D2-13620007081D}" id="{8BC52B21-EEDA-4322-9C73-BD971CA90C6E}">
    <text>Apparently, upheld (same winners and losers)</text>
  </threadedComment>
</ThreadedComments>
</file>

<file path=xl/threadedComments/threadedComment6.xml><?xml version="1.0" encoding="utf-8"?>
<ThreadedComments xmlns="http://schemas.microsoft.com/office/spreadsheetml/2018/threadedcomments" xmlns:x="http://schemas.openxmlformats.org/spreadsheetml/2006/main">
  <threadedComment ref="D2" dT="2023-11-08T18:29:21.24" personId="{93238EA4-A97E-43A0-A9D2-13620007081D}" id="{915C8596-E41E-4387-8E41-48B4CECA1E37}">
    <text>.44</text>
  </threadedComment>
  <threadedComment ref="E2" dT="2023-11-08T18:29:21.24" personId="{93238EA4-A97E-43A0-A9D2-13620007081D}" id="{3395C403-A6C8-41D2-AB5A-F741B43E96BF}">
    <text>.44</text>
  </threadedComment>
  <threadedComment ref="C3" dT="2023-11-13T14:31:12.12" personId="{93238EA4-A97E-43A0-A9D2-13620007081D}" id="{0E04735B-33B8-4E0E-B8D1-14506178787A}">
    <text>23.07.2014
Different from the date of complaint/first action from DartsIP</text>
  </threadedComment>
  <threadedComment ref="D3" dT="2023-11-13T14:30:09.92" personId="{93238EA4-A97E-43A0-A9D2-13620007081D}" id="{763B9050-1C66-48CD-AB7A-62557A21D0CE}">
    <text>.20</text>
  </threadedComment>
  <threadedComment ref="E3" dT="2023-11-13T14:32:38.70" personId="{93238EA4-A97E-43A0-A9D2-13620007081D}" id="{BECAD737-68E4-4735-932A-FEE04AA10BC8}">
    <text>.20</text>
  </threadedComment>
  <threadedComment ref="D4" dT="2023-11-13T15:03:44.55" personId="{93238EA4-A97E-43A0-A9D2-13620007081D}" id="{D50EBEF3-37FB-49A7-B9E6-C4E30EF6E1C1}">
    <text>.21</text>
  </threadedComment>
  <threadedComment ref="E4" dT="2023-11-13T15:03:44.55" personId="{93238EA4-A97E-43A0-A9D2-13620007081D}" id="{693A7B7D-3EED-49ED-B964-91ACE6A62AA6}">
    <text>.21</text>
  </threadedComment>
  <threadedComment ref="D5" dT="2023-11-13T13:48:43.90" personId="{93238EA4-A97E-43A0-A9D2-13620007081D}" id="{BA51A8B7-AFBF-4420-8EA2-CD570887F189}">
    <text>.24</text>
  </threadedComment>
  <threadedComment ref="E5" dT="2023-11-13T15:18:57.72" personId="{93238EA4-A97E-43A0-A9D2-13620007081D}" id="{67A7B4F1-70FD-43F2-A444-748A472A8F32}">
    <text>.24</text>
  </threadedComment>
  <threadedComment ref="D6" dT="2023-11-13T13:48:43.90" personId="{93238EA4-A97E-43A0-A9D2-13620007081D}" id="{E9A1D032-71AA-4BCF-80E4-EB9DB7D0E351}">
    <text>.24</text>
  </threadedComment>
  <threadedComment ref="E6" dT="2023-11-13T15:18:57.72" personId="{93238EA4-A97E-43A0-A9D2-13620007081D}" id="{8FABD2C6-7024-4E69-801B-B96CA7D37A86}">
    <text>.24</text>
  </threadedComment>
  <threadedComment ref="D7" dT="2023-11-13T17:49:24.09" personId="{93238EA4-A97E-43A0-A9D2-13620007081D}" id="{E5F146BF-9424-420F-9FB5-33CD87769BAF}">
    <text>.27</text>
  </threadedComment>
  <threadedComment ref="E7" dT="2023-11-13T17:49:30.80" personId="{93238EA4-A97E-43A0-A9D2-13620007081D}" id="{C36E35AD-5F37-4244-BDDF-3ADA5A61E62F}">
    <text>.27</text>
  </threadedComment>
  <threadedComment ref="D8" dT="2023-11-13T18:59:11.18" personId="{93238EA4-A97E-43A0-A9D2-13620007081D}" id="{5476C880-FE11-4D72-B473-9A1E20B070EC}">
    <text>.17</text>
  </threadedComment>
  <threadedComment ref="E8" dT="2023-11-13T18:59:38.74" personId="{93238EA4-A97E-43A0-A9D2-13620007081D}" id="{6982DC61-58CD-4B05-AB4F-CC08DB37D970}">
    <text>.17</text>
  </threadedComment>
  <threadedComment ref="D9" dT="2023-11-13T20:08:48.22" personId="{93238EA4-A97E-43A0-A9D2-13620007081D}" id="{0117148B-DD4F-4DFC-A49B-3A31207ED12E}">
    <text>.61-.66</text>
  </threadedComment>
  <threadedComment ref="E9" dT="2023-11-13T20:08:48.22" personId="{93238EA4-A97E-43A0-A9D2-13620007081D}" id="{12AA17AF-AA30-452D-A08F-543FC090FECC}">
    <text>.61-.66</text>
  </threadedComment>
  <threadedComment ref="D10" dT="2023-11-14T12:15:03.78" personId="{93238EA4-A97E-43A0-A9D2-13620007081D}" id="{E4A45B6E-0736-4C6D-AF9D-DAE9FCBD2406}">
    <text>.66</text>
  </threadedComment>
  <threadedComment ref="E10" dT="2023-11-14T12:15:03.78" personId="{93238EA4-A97E-43A0-A9D2-13620007081D}" id="{761B2507-7450-46E8-93A9-0467D739DC63}">
    <text>.66</text>
  </threadedComment>
  <threadedComment ref="E10" dT="2023-11-14T12:15:40.56" personId="{93238EA4-A97E-43A0-A9D2-13620007081D}" id="{560B6E92-DF88-48DD-8C29-FB01A2FA6D2E}" parentId="{761B2507-7450-46E8-93A9-0467D739DC63}">
    <text>Mention of previous contacts in 2008-2009.</text>
  </threadedComment>
  <threadedComment ref="D11" dT="2023-11-14T12:38:27.33" personId="{93238EA4-A97E-43A0-A9D2-13620007081D}" id="{71E49223-894A-4DA7-A095-4A35F88EB49B}">
    <text>.39
.339</text>
  </threadedComment>
  <threadedComment ref="E11" dT="2023-11-14T12:38:27.33" personId="{93238EA4-A97E-43A0-A9D2-13620007081D}" id="{8E8AD0C9-EECE-4BFA-BFF3-6C26492A7E50}">
    <text>.39
.339</text>
  </threadedComment>
  <threadedComment ref="D12" dT="2023-11-14T13:09:11.98" personId="{93238EA4-A97E-43A0-A9D2-13620007081D}" id="{32534AD0-EF40-4E1B-9943-936F2B716867}">
    <text>.211</text>
  </threadedComment>
  <threadedComment ref="E12" dT="2023-11-14T13:09:41.54" personId="{93238EA4-A97E-43A0-A9D2-13620007081D}" id="{D041C9A6-D486-47B2-B26F-929E37E94E84}">
    <text>.211
Patent in suit, in 06.10.2015 other 7 patents have been mentioned.</text>
  </threadedComment>
  <threadedComment ref="D13" dT="2023-11-14T13:41:19.19" personId="{93238EA4-A97E-43A0-A9D2-13620007081D}" id="{06649A3B-121A-4E57-BAA3-960C880FFBF2}">
    <text>.96</text>
  </threadedComment>
  <threadedComment ref="E13" dT="2023-11-14T13:41:19.19" personId="{93238EA4-A97E-43A0-A9D2-13620007081D}" id="{1E133940-D3A3-4F32-A0B9-11C3CE31EF8B}">
    <text>.96</text>
  </threadedComment>
  <threadedComment ref="G13" dT="2023-10-10T09:25:17.72" personId="{93238EA4-A97E-43A0-A9D2-13620007081D}" id="{1852E21B-B729-4985-9B61-CA61D7CCF41B}">
    <text xml:space="preserve">Die Klägerin macht – nachdem die Parteien den Rechtsstreit übereinstimmend im Hinblick auf den ursprünglich auch geltend gemachten Unterlassungsanspruch teilweise für erledigt erklärt haben – </text>
  </threadedComment>
  <threadedComment ref="G13" dT="2023-11-22T16:37:59.82" personId="{93238EA4-A97E-43A0-A9D2-13620007081D}" id="{4DEA719D-2BD9-4031-875C-FF4C7BB3D4C3}" parentId="{1852E21B-B729-4985-9B61-CA61D7CCF41B}">
    <text>(patent expired, so no injunction issued; but court is explicit in that plaintiff had a right to request the injunction when it did)
Justus</text>
  </threadedComment>
  <threadedComment ref="D14" dT="2023-11-14T15:43:13.17" personId="{93238EA4-A97E-43A0-A9D2-13620007081D}" id="{E4EEB7C0-08E9-42A9-843D-C384749C21A3}">
    <text>.40
.759
Mention of a prior infringement notification in 2016</text>
  </threadedComment>
  <threadedComment ref="E14" dT="2023-11-14T15:43:13.17" personId="{93238EA4-A97E-43A0-A9D2-13620007081D}" id="{10ABD24C-0BB4-4257-B379-9619A034FD19}">
    <text>.40
.759
Mention of a prior infringement notification in 2016</text>
  </threadedComment>
  <threadedComment ref="D15" dT="2023-11-14T17:03:37.74" personId="{93238EA4-A97E-43A0-A9D2-13620007081D}" id="{7CF6C239-842A-440F-B24D-10163D2D0923}">
    <text xml:space="preserve">
.729
Mention of a prior infringement notification in 2016</text>
  </threadedComment>
  <threadedComment ref="E15" dT="2023-11-14T17:03:37.74" personId="{93238EA4-A97E-43A0-A9D2-13620007081D}" id="{C500AAE0-F245-4020-99E8-10E037695368}">
    <text xml:space="preserve">
.729
Mention of a prior infringement notification in 2016</text>
  </threadedComment>
  <threadedComment ref="S15" dT="2023-12-07T21:29:20.08" personId="{93238EA4-A97E-43A0-A9D2-13620007081D}" id="{F5B4C418-6555-4991-9A85-1B5E21D99A4A}">
    <text>.283?
.299?</text>
  </threadedComment>
  <threadedComment ref="D16" dT="2023-11-14T18:31:22.32" personId="{93238EA4-A97E-43A0-A9D2-13620007081D}" id="{FB896350-1B13-4AD2-9D95-1F8B0C342F58}">
    <text>.98</text>
  </threadedComment>
  <threadedComment ref="E16" dT="2023-11-14T18:31:22.32" personId="{93238EA4-A97E-43A0-A9D2-13620007081D}" id="{7BC21219-4714-48C3-9B36-D011F10A33B3}">
    <text>.98</text>
  </threadedComment>
  <threadedComment ref="S16" dT="2023-12-07T21:29:41.13" personId="{93238EA4-A97E-43A0-A9D2-13620007081D}" id="{3CB20C93-D1C7-49B4-8FA8-398322DE739F}">
    <text>.325?
.341?</text>
  </threadedComment>
  <threadedComment ref="D17" dT="2023-11-15T11:45:39.42" personId="{93238EA4-A97E-43A0-A9D2-13620007081D}" id="{8521DECB-5132-4EA1-97C1-66A1A9D290A0}">
    <text>It only says March 2016
.8</text>
  </threadedComment>
  <threadedComment ref="E17" dT="2023-11-15T11:46:40.75" personId="{93238EA4-A97E-43A0-A9D2-13620007081D}" id="{458569F3-D7A3-493B-890F-FBBC8CD52F48}">
    <text>.8</text>
  </threadedComment>
  <threadedComment ref="G17" dT="2023-10-10T09:21:19.54" personId="{93238EA4-A97E-43A0-A9D2-13620007081D}" id="{F8E49C8F-5B29-495D-9638-BA3AEE6F85EF}">
    <text>Das Verfahren wird ausgesetzt.</text>
  </threadedComment>
  <threadedComment ref="G17" dT="2023-11-22T16:38:27.43" personId="{93238EA4-A97E-43A0-A9D2-13620007081D}" id="{E0DB42B6-E6BD-416C-BB82-C0825A66061B}" parentId="{F8E49C8F-5B29-495D-9638-BA3AEE6F85EF}">
    <text>{referred to CJEU, settled before decision}
Justus</text>
  </threadedComment>
  <threadedComment ref="D18" dT="2023-11-22T13:01:49.88" personId="{93238EA4-A97E-43A0-A9D2-13620007081D}" id="{6BD58535-9CA4-4761-A440-7FF6E6580A9B}">
    <text>.11</text>
  </threadedComment>
  <threadedComment ref="E18" dT="2023-11-22T13:01:49.88" personId="{93238EA4-A97E-43A0-A9D2-13620007081D}" id="{E19EC1A0-C73B-4067-904E-FD5F682BEB55}">
    <text>.11</text>
  </threadedComment>
  <threadedComment ref="E18" dT="2023-11-22T13:19:27.43" personId="{93238EA4-A97E-43A0-A9D2-13620007081D}" id="{CB40483B-5EC1-4513-BFDA-CF4FB7D90A58}" parentId="{E19EC1A0-C73B-4067-904E-FD5F682BEB55}">
    <text xml:space="preserve">.131
13.04.2015 </text>
  </threadedComment>
  <threadedComment ref="D19" dT="2023-11-22T14:20:41.23" personId="{93238EA4-A97E-43A0-A9D2-13620007081D}" id="{C0C9DBE3-A10E-4554-9BBA-A1C927B80660}">
    <text>.16</text>
  </threadedComment>
  <threadedComment ref="E19" dT="2023-11-22T14:20:41.23" personId="{93238EA4-A97E-43A0-A9D2-13620007081D}" id="{9DEEC312-EF3E-4F40-904B-4437D3612902}">
    <text>.16</text>
  </threadedComment>
  <threadedComment ref="D20" dT="2023-11-22T15:31:17.69" personId="{93238EA4-A97E-43A0-A9D2-13620007081D}" id="{16E3E0BE-AE5A-41F6-96B1-BF399E3B9BD3}">
    <text>01.06.2015 Seite 6. (Pools Treffen, not on the 01 of June, just mention of Juni)
01.02.2016 Seite 6. (Pools Brief)
01.06.2016 Seite 5. (Pool)
23.06.2016 Seite 6. (bilaterale Lizenz)</text>
  </threadedComment>
  <threadedComment ref="E20" dT="2023-11-22T15:31:17.69" personId="{93238EA4-A97E-43A0-A9D2-13620007081D}" id="{C8B05CFF-46CB-47D8-BD80-C716F072FDAB}">
    <text xml:space="preserve">Seite 5. (Pool)
23.06.2016 Seite 6. (bilaterale Lizenz)
</text>
  </threadedComment>
  <threadedComment ref="D21" dT="2023-11-22T18:03:10.89" personId="{93238EA4-A97E-43A0-A9D2-13620007081D}" id="{F591BC7A-C8E6-4A39-B759-5213AC171A50}">
    <text>Seite 5.</text>
  </threadedComment>
  <threadedComment ref="E21" dT="2023-11-22T18:04:34.33" personId="{93238EA4-A97E-43A0-A9D2-13620007081D}" id="{B9C3848F-05A1-475C-9024-BACC9E80C470}">
    <text>Seite 5.
29.02.2016 Seite 25, a).</text>
  </threadedComment>
  <threadedComment ref="D22" dT="2023-11-22T23:09:36.93" personId="{93238EA4-A97E-43A0-A9D2-13620007081D}" id="{E5F2869B-B065-411C-9BD6-EF1B21303837}">
    <text>6.</text>
  </threadedComment>
  <threadedComment ref="E22" dT="2023-11-22T23:10:05.56" personId="{93238EA4-A97E-43A0-A9D2-13620007081D}" id="{19330A72-AC6E-4A4E-9075-6FE94FF8B5DE}">
    <text>6.</text>
  </threadedComment>
  <threadedComment ref="D23" dT="2023-11-23T12:38:10.29" personId="{93238EA4-A97E-43A0-A9D2-13620007081D}" id="{68727E6D-2090-42B3-8646-B201A7504303}">
    <text>.6</text>
  </threadedComment>
  <threadedComment ref="E23" dT="2023-11-22T23:10:05.56" personId="{93238EA4-A97E-43A0-A9D2-13620007081D}" id="{CF2A2DC3-3287-4CDD-8740-FCE647D8BB90}">
    <text>6.</text>
  </threadedComment>
  <threadedComment ref="D24" dT="2023-11-23T17:09:44.87" personId="{93238EA4-A97E-43A0-A9D2-13620007081D}" id="{02B3F433-F9CC-4AB0-94DD-84A62A4E432A}">
    <text>Seite 5.</text>
  </threadedComment>
  <threadedComment ref="E24" dT="2023-11-23T17:11:12.49" personId="{93238EA4-A97E-43A0-A9D2-13620007081D}" id="{47447F0E-76DA-4A8E-84A7-66D536B5EF9B}">
    <text>Seite 5.</text>
  </threadedComment>
  <threadedComment ref="D25" dT="2023-11-23T17:06:18.97" personId="{93238EA4-A97E-43A0-A9D2-13620007081D}" id="{A89ED7EA-8957-4A25-8188-ADEC5B313311}">
    <text>Seite 8.</text>
  </threadedComment>
  <threadedComment ref="E25" dT="2023-11-23T17:32:02.77" personId="{93238EA4-A97E-43A0-A9D2-13620007081D}" id="{B25351C2-4E58-44A5-A2D4-6417AC76ECFD}">
    <text>Seite 8.</text>
  </threadedComment>
  <threadedComment ref="G25" dT="2023-10-10T10:02:41.27" personId="{93238EA4-A97E-43A0-A9D2-13620007081D}" id="{84C96787-C341-404E-B21E-94B6BCA2A6B9}">
    <text xml:space="preserve">BEIM FRAND-EINWAND </text>
  </threadedComment>
  <threadedComment ref="G25" dT="2023-10-10T10:03:36.65" personId="{93238EA4-A97E-43A0-A9D2-13620007081D}" id="{51AE0576-EF37-45EC-A802-00F7B9DAA0D1}" parentId="{84C96787-C341-404E-B21E-94B6BCA2A6B9}">
    <text>(NO Kather version)</text>
  </threadedComment>
  <threadedComment ref="D26" dT="2023-11-23T18:35:20.41" personId="{93238EA4-A97E-43A0-A9D2-13620007081D}" id="{FE5D4280-90A0-48AD-A63A-A9BB9BCD9416}">
    <text>Seite 4, 1.</text>
  </threadedComment>
  <threadedComment ref="E26" dT="2023-11-23T18:35:20.41" personId="{93238EA4-A97E-43A0-A9D2-13620007081D}" id="{7CE24CC6-FB6A-444C-9C44-92E3E3ADB890}">
    <text>Seite 4, 1.
No mention of the date of the offer, two dates for contacts
29.03.2016 
06.03.2018</text>
  </threadedComment>
  <threadedComment ref="G26" dT="2023-10-10T10:11:20.41" personId="{93238EA4-A97E-43A0-A9D2-13620007081D}" id="{7712B981-1EA6-4C02-A3E0-C3D4D5449D7F}">
    <text>Mentions of Patent Holder position and maybe FRAND-Einwand</text>
  </threadedComment>
  <threadedComment ref="G26" dT="2023-10-10T10:11:32.50" personId="{93238EA4-A97E-43A0-A9D2-13620007081D}" id="{A7443187-1036-4E6B-A064-FE004DC70856}" parentId="{7712B981-1EA6-4C02-A3E0-C3D4D5449D7F}">
    <text>[…] mangels Lizenzwilligkeit kein FRAND-Einwand zu</text>
  </threadedComment>
  <threadedComment ref="G26" dT="2023-10-10T10:11:49.37" personId="{93238EA4-A97E-43A0-A9D2-13620007081D}" id="{0CD3926F-9892-4736-9ACD-815B1286ADE1}" parentId="{7712B981-1EA6-4C02-A3E0-C3D4D5449D7F}">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D27" dT="2023-11-22T18:56:07.05" personId="{93238EA4-A97E-43A0-A9D2-13620007081D}" id="{3C97387B-933E-44C2-BD9C-E7DC53C077C1}">
    <text>Seite 14.
Seite 47, II. 1.
Seite 48, b).</text>
  </threadedComment>
  <threadedComment ref="E27" dT="2023-11-22T18:57:43.88" personId="{93238EA4-A97E-43A0-A9D2-13620007081D}" id="{BD325293-B1EF-4B36-AD71-293350ACBBE5}">
    <text>Seite 14.</text>
  </threadedComment>
  <threadedComment ref="B28" dT="2023-11-16T17:51:44.28" personId="{93238EA4-A97E-43A0-A9D2-13620007081D}" id="{7A298A1F-B6E2-46B6-BF5D-81253E416DB0}">
    <text>09.09.2021</text>
  </threadedComment>
  <threadedComment ref="D28" dT="2023-11-16T12:00:24.84" personId="{93238EA4-A97E-43A0-A9D2-13620007081D}" id="{3BF734DA-B0A4-46D8-A28D-1F3C30D3EE53}">
    <text>.113-.115</text>
  </threadedComment>
  <threadedComment ref="E28" dT="2023-11-16T12:07:39.59" personId="{93238EA4-A97E-43A0-A9D2-13620007081D}" id="{872E5925-C8D7-4D1B-9D34-F985AFA6EBEF}">
    <text>.118
.120
Not an actual offer, but an invitation to their website. The court thinks it is sufficient infringement notice, not accepting the objections of the defendant.
There is another letter dated 16.09.2019 that repeats the message, also considered valid.</text>
  </threadedComment>
  <threadedComment ref="G30" dT="2023-10-10T13:12:12.95" personId="{93238EA4-A97E-43A0-A9D2-13620007081D}" id="{006F4B02-D13F-49E1-B4B4-709BD0164C8E}">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G30" dT="2023-10-10T13:13:28.06" personId="{93238EA4-A97E-43A0-A9D2-13620007081D}" id="{C491A977-2B8A-4068-AE83-EE8233DCF6FC}" parentId="{006F4B02-D13F-49E1-B4B4-709BD0164C8E}">
    <text xml:space="preserve">Die Klage ist als derzeit unbegrundet abzuweisen, soweit die Klagerin von der Beklagten Unterlassung, Ruckruf und Entfernung aus den Vertriebswegen sowie die Vernichtung patentverletzender Produkte </text>
  </threadedComment>
  <threadedComment ref="D31" dT="2023-11-16T21:19:44.20" personId="{93238EA4-A97E-43A0-A9D2-13620007081D}" id="{74D6B7BF-2AF8-45F1-AC84-376BA37322A8}">
    <text>Letter of July 2014 (after the complaint)
.215</text>
  </threadedComment>
  <threadedComment ref="G31" dT="2023-11-17T23:30:02.76" personId="{93238EA4-A97E-43A0-A9D2-13620007081D}" id="{5C138281-CC73-4742-99EF-CD21E5DCA6C1}">
    <text>I am NOT sure why I found it to be an injunction. While studying it more, I would say it may be a NO.</text>
  </threadedComment>
  <threadedComment ref="G31" dT="2023-11-20T13:55:27.31" personId="{93238EA4-A97E-43A0-A9D2-13620007081D}" id="{AB944733-D294-4DBF-BC6E-644ABB4BE9BC}" parentId="{5C138281-CC73-4742-99EF-CD21E5DCA6C1}">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G31" dT="2023-11-22T16:25:26.97" personId="{93238EA4-A97E-43A0-A9D2-13620007081D}" id="{2AEA249F-CDC7-4F50-991E-70FDD8572F44}" parentId="{5C138281-CC73-4742-99EF-CD21E5DCA6C1}">
    <text>Justus said YES</text>
  </threadedComment>
  <threadedComment ref="D33" dT="2023-11-16T19:11:58.68" personId="{93238EA4-A97E-43A0-A9D2-13620007081D}" id="{1747A55B-506F-43B9-83DF-8F10107F57F9}">
    <text>A lot of mentions of 27.09.2019.
Could that be the date of first contact?</text>
  </threadedComment>
  <threadedComment ref="E33" dT="2023-11-16T19:11:58.68" personId="{93238EA4-A97E-43A0-A9D2-13620007081D}" id="{B8C305FF-F59A-414A-94B4-2E8B2CD52A8B}">
    <text>A lot of mentions of 27.09.2019.
Could that be the date of first contact?</text>
  </threadedComment>
  <threadedComment ref="D34" dT="2023-11-16T19:29:24.32" personId="{93238EA4-A97E-43A0-A9D2-13620007081D}" id="{02A0BBB1-1689-456B-9AFD-D888E55122B9}">
    <text>.218
Does not say first of March, just March 2021.</text>
  </threadedComment>
  <threadedComment ref="D34" dT="2023-11-16T19:31:49.27" personId="{93238EA4-A97E-43A0-A9D2-13620007081D}" id="{334E3178-5D33-47CC-A781-922022BB5C79}" parentId="{02A0BBB1-1689-456B-9AFD-D888E55122B9}">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E34" dT="2023-11-16T19:29:24.32" personId="{93238EA4-A97E-43A0-A9D2-13620007081D}" id="{D67CA643-2A2D-41F9-8C6C-0A63F3EBE807}">
    <text>.218
Does not say first of March, just March 2021.</text>
  </threadedComment>
  <threadedComment ref="E34" dT="2023-11-16T19:31:49.27" personId="{93238EA4-A97E-43A0-A9D2-13620007081D}" id="{13C8B0C8-E729-44FE-AC75-2A94EA59DF0D}" parentId="{D67CA643-2A2D-41F9-8C6C-0A63F3EBE807}">
    <text xml:space="preserve">15.07.2021 is recognized as the date for a second offer.
.188
aa) Am 15.07.2021 hat der Pool den jeweiligen Ansprechpartnern der TV-Sparte und der Smartphone-Sparte der Unternehmensgruppe der Beklagten ein aktualisiertes und in der Höhe reduziertes Lizenzangebot per E-Mail unterbreitet (Anlage VP Kart 1/2). 
</text>
  </threadedComment>
  <threadedComment ref="D35" dT="2023-11-15T18:01:33.36" personId="{93238EA4-A97E-43A0-A9D2-13620007081D}" id="{AB691DF3-882A-4F92-80DD-83766A725640}">
    <text>.99
.147</text>
  </threadedComment>
  <threadedComment ref="E35" dT="2023-11-15T18:01:23.10" personId="{93238EA4-A97E-43A0-A9D2-13620007081D}" id="{A2C9F3B7-9635-4501-B35A-47C3F1533436}">
    <text>.99
.147</text>
  </threadedComment>
  <threadedComment ref="D36" dT="2023-11-15T12:28:19.42" personId="{93238EA4-A97E-43A0-A9D2-13620007081D}" id="{32773D98-9693-427A-89E3-FC968A5FD870}">
    <text>.22</text>
  </threadedComment>
  <threadedComment ref="E36" dT="2023-11-15T12:28:19.42" personId="{93238EA4-A97E-43A0-A9D2-13620007081D}" id="{8032DBE2-605A-4A16-9786-8BB93B4E82F3}">
    <text>.22</text>
  </threadedComment>
  <threadedComment ref="D37" dT="2023-11-15T13:05:07.38" personId="{93238EA4-A97E-43A0-A9D2-13620007081D}" id="{85F5BFDF-6328-4103-A4F1-CF925C833CD7}">
    <text>.23</text>
  </threadedComment>
  <threadedComment ref="E37" dT="2023-11-15T13:05:07.38" personId="{93238EA4-A97E-43A0-A9D2-13620007081D}" id="{882C2178-B17C-495E-B298-7C30C67344EB}">
    <text>.23</text>
  </threadedComment>
  <threadedComment ref="C38" dT="2023-11-15T17:09:19.58" personId="{93238EA4-A97E-43A0-A9D2-13620007081D}" id="{2BB44D05-7928-42AA-9891-DB9F7FAA570A}">
    <text>.15</text>
  </threadedComment>
  <threadedComment ref="G38" dT="2023-10-10T18:56:17.06" personId="{93238EA4-A97E-43A0-A9D2-13620007081D}" id="{D80FD525-4C76-4366-B16D-541057A807E4}">
    <text>.17
Der Antrag auf Erlass einer einstweiligen Verfügung ist zulässig (I.) und begründet (II). 
.29
.41</text>
  </threadedComment>
  <threadedComment ref="G38" dT="2023-10-10T18:56:31.43" personId="{93238EA4-A97E-43A0-A9D2-13620007081D}" id="{2CA04258-424B-4F45-B712-974C01E42EAB}" parentId="{D80FD525-4C76-4366-B16D-541057A807E4}">
    <text>Bei den in § 33 Abs. 1 GWB geregelten Unterlassungs- und Beseitigungsansprüchen handelt
es sich um Ansprüche aus unerlaubter Handlung.</text>
  </threadedComment>
  <threadedComment ref="G38" dT="2023-11-22T16:27:12.97" personId="{93238EA4-A97E-43A0-A9D2-13620007081D}" id="{2D596949-51C4-4D9F-8003-CBC7AE9BA94D}" parentId="{D80FD525-4C76-4366-B16D-541057A807E4}">
    <text>NO {the order here is reversed; the implementer successfully sues for a customs ban to be lifted}
Justus</text>
  </threadedComment>
  <threadedComment ref="G39" dT="2023-11-22T16:29:12.68" personId="{93238EA4-A97E-43A0-A9D2-13620007081D}" id="{9CC90AED-5BF4-4FE0-89F1-98941AA76A46}">
    <text>{because retracted}
No?
Justus</text>
  </threadedComment>
  <threadedComment ref="G39" dT="2023-11-30T19:27:39.81" personId="{93238EA4-A97E-43A0-A9D2-13620007081D}" id="{E04CD4C9-E342-49CD-A4D5-378A3BD4EC6E}" parentId="{9CC90AED-5BF4-4FE0-89F1-98941AA76A46}">
    <text>Changed to No for the graphs</text>
  </threadedComment>
  <threadedComment ref="B40" dT="2023-12-01T10:27:24.20" personId="{93238EA4-A97E-43A0-A9D2-13620007081D}" id="{66CFBA34-B140-45BA-A278-45EF30C9B242}">
    <text>Picked the latest date</text>
  </threadedComment>
  <threadedComment ref="D40" dT="2023-11-20T18:57:14.65" personId="{93238EA4-A97E-43A0-A9D2-13620007081D}" id="{E83A15CB-CD66-48EB-A3A5-63A0D540C133}">
    <text>Lawsuit notification, most probably</text>
  </threadedComment>
  <threadedComment ref="E40" dT="2023-11-20T19:01:12.02" personId="{93238EA4-A97E-43A0-A9D2-13620007081D}" id="{B912E535-D675-48D4-938C-671D0D68D93D}">
    <text>Seite 38, 4. a)</text>
  </threadedComment>
  <threadedComment ref="E40" dT="2023-11-20T19:03:20.38" personId="{93238EA4-A97E-43A0-A9D2-13620007081D}" id="{C251EABC-8505-4098-B957-62025FD4117A}" parentId="{B912E535-D675-48D4-938C-671D0D68D93D}">
    <text>Defendant's counter offer: 30.05.2014</text>
  </threadedComment>
  <threadedComment ref="B41" dT="2023-12-01T10:27:34.63" personId="{93238EA4-A97E-43A0-A9D2-13620007081D}" id="{44250ED0-8A00-4FC3-9168-14DEB552F6D0}">
    <text>Picked the latest date</text>
  </threadedComment>
  <threadedComment ref="D41" dT="2023-11-20T18:57:14.65" personId="{93238EA4-A97E-43A0-A9D2-13620007081D}" id="{763B3EEE-5A12-49BF-A104-4CB84D4C71E4}">
    <text>Lawsuit notification, most probably</text>
  </threadedComment>
  <threadedComment ref="E41" dT="2023-11-20T19:11:39.29" personId="{93238EA4-A97E-43A0-A9D2-13620007081D}" id="{1C6EF3DC-1E7E-4F12-B1D4-9A0BC79AF2B0}">
    <text>Seite 6
Seite 35, d).</text>
  </threadedComment>
  <threadedComment ref="D42" dT="2023-11-21T13:11:58.83" personId="{93238EA4-A97E-43A0-A9D2-13620007081D}" id="{EC739C55-BEC4-420D-9CF9-5D02B9C0F2E6}">
    <text>Seite 5
Die Klägerin wies die französische A SAS vor Klageerhebung schriftlich am 13. Oktober 2014 unter Beifügung einer Liste der betroffenen Patente darauf hin, dass sie durch den Vertrieb ihrer Mobiltelefone UMTS- und LTE-standardessentielle Patente der Klägerin verletze.</text>
  </threadedComment>
  <threadedComment ref="E42" dT="2023-11-21T13:16:21.96" personId="{93238EA4-A97E-43A0-A9D2-13620007081D}" id="{BE39797D-9EDE-4971-A61C-550E959348D8}">
    <text xml:space="preserve">Mit Schreiben vom 28. Juli 2015 unterbreitete die Klägerin der A SAS ein Lizenzvertragsangebot unter Beifügung einer Liste der patentverletzenden Produkte und standardessentiellen Patente nebst technischen
Beschreibungen. </text>
  </threadedComment>
  <threadedComment ref="D43" dT="2023-11-21T13:18:58.25" personId="{93238EA4-A97E-43A0-A9D2-13620007081D}" id="{A9C8E43D-0EB6-4E54-9715-D27B884A12A8}">
    <text xml:space="preserve">Seite 6.
Die Klägerin wies die französische X SAS vor Klageerhebung schriftlich am 13. Oktober 2014 (Anlage K 4a) unter Beifügung einer Liste der betroffenen Patente darauf hin, dass sie durch den Vertrieb ihrer Mobiltelefone UMTS- und LTE-standardessentielle Patente der Klägerin verletze </text>
  </threadedComment>
  <threadedComment ref="E43" dT="2023-11-21T13:19:41.52" personId="{93238EA4-A97E-43A0-A9D2-13620007081D}" id="{9B5D5CF9-547F-476A-9D08-8B9184A81EDE}">
    <text xml:space="preserve">Seite 7.
Mit schreiben vom 28. Juli 2015 (Anlage K 4g) unterbreitete die Klägerin der X SAS ein Lizenzvertragsangebot (Anlage K 4g, Anhang 4) unter Beifügung einer Liste der patentverletzenden Produkte und standardessentiellen Patente (Anlage K 4g, Anhang 1 und 2) nebst technischen Beschreibungen </text>
  </threadedComment>
  <threadedComment ref="D44" dT="2023-11-21T13:29:29.87" personId="{93238EA4-A97E-43A0-A9D2-13620007081D}" id="{891FF218-914C-4630-B497-D077FF40FBAC}">
    <text>Seite 7.
Die Klägerin wies die französische [ ] vor Klageerhebung schriftlich am 13. Oktober 2014 (Anlage K 4a) unter Beifügung einer Liste der betroffenen Patente darauf hin, dass sie durch den Vertrieb ihrer Mobiltelefone UMTS- und LTE-standardessentielle Patente der Klägerin verletze.</text>
  </threadedComment>
  <threadedComment ref="E44" dT="2023-11-21T13:42:40.43" personId="{93238EA4-A97E-43A0-A9D2-13620007081D}" id="{F51A08C3-02FA-44BE-BE5B-F98B32CB57D1}">
    <text xml:space="preserve">Seite 7.
Mit Schreiben vom 28. Juli 2015 (Anlage K 4g) unterbreitete die Klägerin der [ ] ein Lizenzvertragsangebot (Anlage K 4g, Anhang 4) unter Beifügung einer Liste der patentverletzenden Produkte und standardessentiellen Patente (Anlage K 4g, Anhang 1 und 2) nebst technischen Beschreibunge </text>
  </threadedComment>
  <threadedComment ref="D45" dT="2023-11-21T13:55:46.11" personId="{93238EA4-A97E-43A0-A9D2-13620007081D}" id="{FAB4F2B2-6683-457D-A663-963E75B2AA62}">
    <text xml:space="preserve">Seite 6.
Not 01 of Juni.
Im Juni 2009 übermittelte die Klägerin an A eine Liste mit Patenten, die nach ihrer Auffassung für den UMTS-Standard essentiell sind, darunter auch das Klagepatent. </text>
  </threadedComment>
  <threadedComment ref="E45" dT="2023-11-21T13:56:12.61" personId="{93238EA4-A97E-43A0-A9D2-13620007081D}" id="{76291632-17B6-4565-A576-755EA8F58626}">
    <text>Seite 6.
Mit Email vom 17. September 2015 übersandte die Klägerin einen Lizenzvertragsentwurf an A gemeinsam mit einer aktualisierten Übersicht über ihr UMTS-/LTE_x0002_Patentportfolio nebst Claim-charts.</text>
  </threadedComment>
  <threadedComment ref="G45" dT="2023-11-21T18:50:28.28" personId="{93238EA4-A97E-43A0-A9D2-13620007081D}" id="{2535AC86-5A9E-46DC-9893-8CB51B98FEDF}">
    <text>Siete 33, VI.</text>
  </threadedComment>
  <threadedComment ref="D46" dT="2023-11-21T20:16:10.48" personId="{93238EA4-A97E-43A0-A9D2-13620007081D}" id="{C2606CB1-2525-4408-8991-C28F2D26864F}">
    <text xml:space="preserve">Seite 10.
Die Klagerin schrieb D im Zeitraum von Dezember 2014 bis April 2015 im Rahmen einer als Anlagen HEC16/16a bis HE-C 24/24a vorgelegten Korrespondenz mehrmals an, urn in einen Dialog mit deren Konzern uber eine Lizenz am Portfolio der Klagerin aus standardessentiellen Patenten einzutreten. </text>
  </threadedComment>
  <threadedComment ref="E46" dT="2023-11-21T20:17:18.28" personId="{93238EA4-A97E-43A0-A9D2-13620007081D}" id="{E7262A19-F888-4AAF-AC71-597A26410877}">
    <text xml:space="preserve">Seite 10.
Mit dem als Anlage HE C-19/19a vorgelegten Schreiben vom 1. Februar 2016 unterbreitete die Klagerin diesen ein Lizenzangebot unter Hinweis darauf, wie die Klagerin bejspielhaft ausgewahlte Patente, darunter das Klagepatent, durch u.a. die hier angegriffenen Ausfuhrungsformen verletze. </text>
  </threadedComment>
</ThreadedComments>
</file>

<file path=xl/threadedComments/threadedComment7.xml><?xml version="1.0" encoding="utf-8"?>
<ThreadedComments xmlns="http://schemas.microsoft.com/office/spreadsheetml/2018/threadedcomments" xmlns:x="http://schemas.openxmlformats.org/spreadsheetml/2006/main">
  <threadedComment ref="F3" dT="2023-11-13T14:31:12.12" personId="{93238EA4-A97E-43A0-A9D2-13620007081D}" id="{8E633B5C-1C42-4F1B-9236-FC2DEABD44FD}">
    <text>23.07.2014
Different from the date of complaint/first action from DartsIP</text>
  </threadedComment>
  <threadedComment ref="J4" dT="2023-11-27T13:40:07.66" personId="{93238EA4-A97E-43A0-A9D2-13620007081D}" id="{801AD1A9-177B-40E0-AD38-0B06EEFFC327}">
    <text xml:space="preserve">INEFFECTIVE!
Die Entscheidung ist wirkungslos. Die Klage wurde am 28.12.2018 zurückgenommen. </text>
  </threadedComment>
  <threadedComment ref="C13" dT="2023-10-10T09:25:17.72" personId="{93238EA4-A97E-43A0-A9D2-13620007081D}" id="{22532E8F-4965-4084-8274-AD038F574ADC}">
    <text xml:space="preserve">Die Klägerin macht – nachdem die Parteien den Rechtsstreit übereinstimmend im Hinblick auf den ursprünglich auch geltend gemachten Unterlassungsanspruch teilweise für erledigt erklärt haben – </text>
  </threadedComment>
  <threadedComment ref="C13" dT="2023-11-22T16:37:59.82" personId="{93238EA4-A97E-43A0-A9D2-13620007081D}" id="{3369CF57-9740-4DF6-93CA-7D6BE9B6D348}" parentId="{22532E8F-4965-4084-8274-AD038F574ADC}">
    <text>(patent expired, so no injunction issued; but court is explicit in that plaintiff had a right to request the injunction when it did)
Justus</text>
  </threadedComment>
  <threadedComment ref="M14" dT="2023-11-29T14:54:02.24" personId="{93238EA4-A97E-43A0-A9D2-13620007081D}" id="{2C66D17F-3173-4EF2-95E5-5666F6F48FCB}">
    <text>Darts</text>
  </threadedComment>
  <threadedComment ref="M14" dT="2023-11-29T14:54:37.64" personId="{93238EA4-A97E-43A0-A9D2-13620007081D}" id="{8AC24868-1AD7-4563-8061-51C21E1EDD3F}" parentId="{2C66D17F-3173-4EF2-95E5-5666F6F48FCB}">
    <text>Could be an old one, in Darts there is also a mention of 28.01.2021</text>
  </threadedComment>
  <threadedComment ref="M15" dT="2023-11-29T14:55:40.11" personId="{93238EA4-A97E-43A0-A9D2-13620007081D}" id="{24162456-A381-4AA4-A3C0-1C12F826CCE0}">
    <text>Darts</text>
  </threadedComment>
  <threadedComment ref="M15" dT="2023-11-29T14:56:18.84" personId="{93238EA4-A97E-43A0-A9D2-13620007081D}" id="{12D467DF-BECD-457C-8FBB-4AC36F40DC4D}" parentId="{24162456-A381-4AA4-A3C0-1C12F826CCE0}">
    <text>Could be an old one, in Darts there is also a mention of 28.01.2021</text>
  </threadedComment>
  <threadedComment ref="C17" dT="2023-10-10T09:21:19.54" personId="{93238EA4-A97E-43A0-A9D2-13620007081D}" id="{E123C8EE-C14B-47A3-9D0C-08926D3846FB}">
    <text>Das Verfahren wird ausgesetzt.</text>
  </threadedComment>
  <threadedComment ref="C17" dT="2023-11-22T16:38:27.43" personId="{93238EA4-A97E-43A0-A9D2-13620007081D}" id="{398409EF-B2B0-41EC-A2AF-D8B2ADF0F02F}" parentId="{E123C8EE-C14B-47A3-9D0C-08926D3846FB}">
    <text>{referred to CJEU, settled before decision}
Justus</text>
  </threadedComment>
  <threadedComment ref="J17" dT="2023-11-27T14:20:38.51" personId="{93238EA4-A97E-43A0-A9D2-13620007081D}" id="{19DA943C-AD8E-4813-953F-B53A830117C8}">
    <text>They specify some claims (1, 2, 4, 6 &amp; 9)</text>
  </threadedComment>
  <threadedComment ref="M17" dT="2023-11-29T15:10:26.99" personId="{93238EA4-A97E-43A0-A9D2-13620007081D}" id="{FD71348B-4618-475B-86A6-602EE0B4C818}">
    <text>In Darts they mention
22.10.2019</text>
  </threadedComment>
  <threadedComment ref="M21" dT="2023-11-29T15:13:01.72" personId="{93238EA4-A97E-43A0-A9D2-13620007081D}" id="{8FD144BD-4B52-47DE-B7D7-75FD423454F7}">
    <text>In Darts they mention
29.05.2016</text>
  </threadedComment>
  <threadedComment ref="J22" dT="2023-11-27T14:20:38.51" personId="{93238EA4-A97E-43A0-A9D2-13620007081D}" id="{02FA45F6-CD9A-4F81-AC8F-376B560843E2}">
    <text>They specify some claims (1, 2, 10-14)</text>
  </threadedComment>
  <threadedComment ref="M22" dT="2023-11-29T15:14:37.93" personId="{93238EA4-A97E-43A0-A9D2-13620007081D}" id="{4899C66E-0478-47FF-AACF-4EBA30BCEEEE}">
    <text>Darts</text>
  </threadedComment>
  <threadedComment ref="M23" dT="2023-11-29T15:16:21.34" personId="{93238EA4-A97E-43A0-A9D2-13620007081D}" id="{5F21B82A-7527-498D-9F14-302396D7093C}">
    <text>Darts</text>
  </threadedComment>
  <threadedComment ref="J24" dT="2023-11-27T14:48:05.06" personId="{93238EA4-A97E-43A0-A9D2-13620007081D}" id="{5CB4F4A8-CA36-4923-9BC4-50EE9ABE9794}">
    <text xml:space="preserve">Die Klägerin hält weiter die Fassungen der mit den Hilfsanträgen verteidigten Gegenstände für unzulässig, weil deren Gegenstände den ursprünglichen Unterlagen zum Streitpatent nicht entnehmbar bzw. nicht als zur Erfindung gehörend offenbart seien, wobei sie zum Teil die Patente EP 1 062 745 und EP 1 062 744 beträfen. Im Übrigen hält sie die Gegenstände des Streitpatents im Umfang der hilfsweisen Verteidigung für nicht patentfähig. </text>
  </threadedComment>
  <threadedComment ref="J24" dT="2023-11-27T14:48:24.04" personId="{93238EA4-A97E-43A0-A9D2-13620007081D}" id="{C5EF1D2D-5792-4B37-A922-F1575B6AB53A}" parentId="{5CB4F4A8-CA36-4923-9BC4-50EE9ABE9794}">
    <text xml:space="preserve">Anlagenkonvolut der Entgegenhaltungen aus dem parallelen Nichtigkeitsverfahren zu EP 1 062 744 </text>
  </threadedComment>
  <threadedComment ref="J24" dT="2023-11-27T14:49:55.42" personId="{93238EA4-A97E-43A0-A9D2-13620007081D}" id="{733C85EF-1901-4F53-B74D-E5A5749B8B27}" parentId="{5CB4F4A8-CA36-4923-9BC4-50EE9ABE9794}">
    <text>5 Ni 23/10(EP)</text>
  </threadedComment>
  <threadedComment ref="C25" dT="2023-10-10T10:02:41.27" personId="{93238EA4-A97E-43A0-A9D2-13620007081D}" id="{43861C12-820F-4F15-8295-BBFF43E85D83}">
    <text xml:space="preserve">BEIM FRAND-EINWAND </text>
  </threadedComment>
  <threadedComment ref="C25" dT="2023-10-10T10:03:36.65" personId="{93238EA4-A97E-43A0-A9D2-13620007081D}" id="{15DE6CA2-3124-4AC3-988D-DB017E30A8FA}" parentId="{43861C12-820F-4F15-8295-BBFF43E85D83}">
    <text>(NO Kather version)</text>
  </threadedComment>
  <threadedComment ref="M25" dT="2023-11-29T15:13:01.72" personId="{93238EA4-A97E-43A0-A9D2-13620007081D}" id="{212A0A85-4B47-46E4-9B3C-9D2AAD281887}">
    <text>In Darts they mention
29.05.2016</text>
  </threadedComment>
  <threadedComment ref="C26" dT="2023-10-10T10:11:20.41" personId="{93238EA4-A97E-43A0-A9D2-13620007081D}" id="{B50250ED-C003-4651-9E94-4973C7FD2A1A}">
    <text>Mentions of Patent Holder position and maybe FRAND-Einwand</text>
  </threadedComment>
  <threadedComment ref="C26" dT="2023-10-10T10:11:32.50" personId="{93238EA4-A97E-43A0-A9D2-13620007081D}" id="{A647F438-2E18-4601-BABA-80F991ACE776}" parentId="{B50250ED-C003-4651-9E94-4973C7FD2A1A}">
    <text>[…] mangels Lizenzwilligkeit kein FRAND-Einwand zu</text>
  </threadedComment>
  <threadedComment ref="C26" dT="2023-10-10T10:11:49.37" personId="{93238EA4-A97E-43A0-A9D2-13620007081D}" id="{6D745447-E2D8-4E9E-BA8F-A12880CA6E11}" parentId="{B50250ED-C003-4651-9E94-4973C7FD2A1A}">
    <text xml:space="preserve">Vorliegend steht den Beklagten nachdem die Klägerin auf die Patentverletzung hingewiesen hat (dazu 1.), mangels Lizenzwilligkeit kein FRAND-Einwand zu (dazu 2.). Demgegenüber ist die Klägerin ihren etwaigen Verhandlungsobliegenheiten nachgekommen (dazu 3.) </text>
  </threadedComment>
  <threadedComment ref="D28" dT="2023-11-16T17:51:44.28" personId="{93238EA4-A97E-43A0-A9D2-13620007081D}" id="{71992B9E-6C09-4880-8932-8FEA3339DA36}">
    <text>09.09.2021</text>
  </threadedComment>
  <threadedComment ref="J28" dT="2023-11-27T14:20:38.51" personId="{93238EA4-A97E-43A0-A9D2-13620007081D}" id="{CFD260EE-C781-45B4-AD06-A0A3E03EB10F}">
    <text>They specify some claims (1-4, 7-9, 10-17)</text>
  </threadedComment>
  <threadedComment ref="M28" dT="2023-11-29T15:21:03.09" personId="{93238EA4-A97E-43A0-A9D2-13620007081D}" id="{32A4E8BD-1CB6-44E5-803E-241AB255F227}">
    <text>Darts</text>
  </threadedComment>
  <threadedComment ref="C30" dT="2023-10-10T13:12:12.95" personId="{93238EA4-A97E-43A0-A9D2-13620007081D}" id="{E6237893-CF32-453C-9100-A8B11AAB7751}">
    <text xml:space="preserve">Die auf Unterlassung, Ruckruf/Entfernung aus den Vertriebswegen und Vernichtung gerichteten Anträge sind hingegen abzuweisen, well die Klagerin insoweit an der Anspruchsdurchsetzung aus kartellrechtlichen Grunden gehindert ist (V). </text>
  </threadedComment>
  <threadedComment ref="C30" dT="2023-10-10T13:13:28.06" personId="{93238EA4-A97E-43A0-A9D2-13620007081D}" id="{BA7B7437-F772-4838-830B-F0D912216B3B}" parentId="{E6237893-CF32-453C-9100-A8B11AAB7751}">
    <text xml:space="preserve">Die Klage ist als derzeit unbegrundet abzuweisen, soweit die Klagerin von der Beklagten Unterlassung, Ruckruf und Entfernung aus den Vertriebswegen sowie die Vernichtung patentverletzender Produkte </text>
  </threadedComment>
  <threadedComment ref="J30" dT="2023-11-27T14:20:38.51" personId="{93238EA4-A97E-43A0-A9D2-13620007081D}" id="{FC9964B1-98B5-409A-A252-D3449EBF12AF}">
    <text>They specify some claims (1, 9, 10 &amp; 19)</text>
  </threadedComment>
  <threadedComment ref="C31" dT="2023-11-17T23:30:02.76" personId="{93238EA4-A97E-43A0-A9D2-13620007081D}" id="{359E0825-BACC-4B31-B549-193B2395B33A}">
    <text>I am NOT sure why I found it to be an injunction. While studying it more, I would say it may be a NO.</text>
  </threadedComment>
  <threadedComment ref="C31" dT="2023-11-20T13:55:27.31" personId="{93238EA4-A97E-43A0-A9D2-13620007081D}" id="{7C389D4F-8351-484C-91B7-74ED9D188BC2}" parentId="{359E0825-BACC-4B31-B549-193B2395B33A}">
    <text xml:space="preserve">TENOR
1. Die Beklagte wird verurteilt, es bei Meidung eines für jeden Fall der Zuwiderhandlung fälligen Ordnungsgeldes bis zu 250.000 EUR, ersatzweise Ordnungshaft oder Ordnungshaft bis zu sechs Monaten, im Wiederholungsfall Ordnungshaft bis zu zwei Jahren zu unterlassen, </text>
  </threadedComment>
  <threadedComment ref="C31" dT="2023-11-22T16:25:26.97" personId="{93238EA4-A97E-43A0-A9D2-13620007081D}" id="{E0F36961-A6FB-47C7-878A-F9D4F5C32DCA}" parentId="{359E0825-BACC-4B31-B549-193B2395B33A}">
    <text>Justus said YES</text>
  </threadedComment>
  <threadedComment ref="M33" dT="2023-11-29T15:22:00.91" personId="{93238EA4-A97E-43A0-A9D2-13620007081D}" id="{EE7D0CB3-88B4-4E46-B3E0-D9BAA328F0C7}">
    <text>Darts</text>
  </threadedComment>
  <threadedComment ref="J34" dT="2023-11-27T17:07:41.60" personId="{93238EA4-A97E-43A0-A9D2-13620007081D}" id="{FAF5B218-070B-45BE-B110-8F7B1C8B81D8}">
    <text>Replacement of claims 1 and 11.</text>
  </threadedComment>
  <threadedComment ref="M34" dT="2023-11-29T14:55:40.11" personId="{93238EA4-A97E-43A0-A9D2-13620007081D}" id="{4D5BB3EE-005C-45C2-8A0E-D7E2E45564DB}">
    <text>Darts</text>
  </threadedComment>
  <threadedComment ref="M34" dT="2023-11-29T14:56:18.84" personId="{93238EA4-A97E-43A0-A9D2-13620007081D}" id="{7704B9DC-897C-4848-9D16-5410FC43C4B9}" parentId="{4D5BB3EE-005C-45C2-8A0E-D7E2E45564DB}">
    <text>Could be an old one, in Darts there is also a mention of 28.01.2021</text>
  </threadedComment>
  <threadedComment ref="J36" dT="2023-11-27T18:02:14.73" personId="{93238EA4-A97E-43A0-A9D2-13620007081D}" id="{53EB2C4A-B146-421F-9694-F2E1E6344C5A}">
    <text>Mention of claims 12-16.</text>
  </threadedComment>
  <threadedComment ref="J37" dT="2023-11-27T18:02:14.73" personId="{93238EA4-A97E-43A0-A9D2-13620007081D}" id="{55CD50B4-5A2E-4B15-BEA6-A53BB7DC188B}">
    <text>Mention of claims 12-16.</text>
  </threadedComment>
  <threadedComment ref="C38" dT="2023-10-10T18:56:17.06" personId="{93238EA4-A97E-43A0-A9D2-13620007081D}" id="{32E38E9A-B4C5-420B-A74E-FEFED847AFDE}">
    <text>.17
Der Antrag auf Erlass einer einstweiligen Verfügung ist zulässig (I.) und begründet (II). 
.29
.41</text>
  </threadedComment>
  <threadedComment ref="C38" dT="2023-10-10T18:56:31.43" personId="{93238EA4-A97E-43A0-A9D2-13620007081D}" id="{7E859E91-37F8-4EB5-9F92-4CE005791952}" parentId="{32E38E9A-B4C5-420B-A74E-FEFED847AFDE}">
    <text>Bei den in § 33 Abs. 1 GWB geregelten Unterlassungs- und Beseitigungsansprüchen handelt
es sich um Ansprüche aus unerlaubter Handlung.</text>
  </threadedComment>
  <threadedComment ref="C38" dT="2023-11-22T16:27:12.97" personId="{93238EA4-A97E-43A0-A9D2-13620007081D}" id="{FA7CB9C6-ED0B-451B-96DA-3338190EAD47}" parentId="{32E38E9A-B4C5-420B-A74E-FEFED847AFDE}">
    <text>NO {the order here is reversed; the implementer successfully sues for a customs ban to be lifted}
Justus</text>
  </threadedComment>
  <threadedComment ref="F38" dT="2023-11-15T17:09:19.58" personId="{93238EA4-A97E-43A0-A9D2-13620007081D}" id="{8B531531-C8CD-43B9-8828-42DD66AF90A7}">
    <text>.15</text>
  </threadedComment>
  <threadedComment ref="C39" dT="2023-11-22T16:29:12.68" personId="{93238EA4-A97E-43A0-A9D2-13620007081D}" id="{5C7004C4-D8D6-47E9-9119-62617F84A564}">
    <text>{because retracted}
No?
Justus</text>
  </threadedComment>
  <threadedComment ref="C39" dT="2023-11-30T19:27:39.81" personId="{93238EA4-A97E-43A0-A9D2-13620007081D}" id="{C02BA359-E7AB-4221-9E45-4C06D4B8CA35}" parentId="{5C7004C4-D8D6-47E9-9119-62617F84A564}">
    <text>Changed to No for the graphs</text>
  </threadedComment>
  <threadedComment ref="D40" dT="2023-12-01T10:27:24.20" personId="{93238EA4-A97E-43A0-A9D2-13620007081D}" id="{F10E3C77-30B8-430B-8F81-C49007DBA52D}">
    <text>Picked the latest date</text>
  </threadedComment>
  <threadedComment ref="J40" dT="2023-11-27T18:15:07.25" personId="{93238EA4-A97E-43A0-A9D2-13620007081D}" id="{CF7F40C4-648E-42F9-ADE0-237D5137E220}">
    <text>Mention of the claims 5, 6, 7, 13, 14, 15 &amp; 19).</text>
  </threadedComment>
  <threadedComment ref="J40" dT="2023-11-28T17:21:20.94" personId="{93238EA4-A97E-43A0-A9D2-13620007081D}" id="{228041CD-B06E-4A4E-8D4C-C68E39A32877}" parentId="{CF7F40C4-648E-42F9-ADE0-237D5137E220}">
    <text xml:space="preserve">INEFFECTIVE!
Die Entscheidung ist wirkungslos. Die Klage ist am 05.03.2018 und 05.10.2018 zurückgenommen worden. </text>
  </threadedComment>
  <threadedComment ref="M40" dT="2023-11-29T15:23:26.13" personId="{93238EA4-A97E-43A0-A9D2-13620007081D}" id="{5F61D4A0-5533-4914-A6C1-05FD360AC451}">
    <text>Darts</text>
  </threadedComment>
  <threadedComment ref="D41" dT="2023-12-01T10:27:34.63" personId="{93238EA4-A97E-43A0-A9D2-13620007081D}" id="{178F12AA-02C9-4150-87E2-EA5870DAC209}">
    <text>Picked the latest date</text>
  </threadedComment>
  <threadedComment ref="J41" dT="2023-11-27T18:15:07.25" personId="{93238EA4-A97E-43A0-A9D2-13620007081D}" id="{B549275E-80BB-4560-A8EC-ECE330BB9F8B}">
    <text>Mention of the claims 5, 6, 7, 13, 14, 15 &amp; 19).</text>
  </threadedComment>
  <threadedComment ref="J41" dT="2023-11-28T17:21:37.96" personId="{93238EA4-A97E-43A0-A9D2-13620007081D}" id="{054E2D1D-3AF5-4E83-9294-8201FE68FC48}" parentId="{B549275E-80BB-4560-A8EC-ECE330BB9F8B}">
    <text xml:space="preserve">INEFFECTIVE!
Die Entscheidung ist wirkungslos. Die Klage ist am 05.03.2018 und 05.10.2018 zurückgenommen worden. </text>
  </threadedComment>
  <threadedComment ref="M41" dT="2023-11-29T15:23:26.13" personId="{93238EA4-A97E-43A0-A9D2-13620007081D}" id="{ED216E9D-8A6A-49DF-9FC3-1FBCDE55F43D}">
    <text>Darts</text>
  </threadedComment>
  <threadedComment ref="J42" dT="2023-11-27T14:20:38.51" personId="{93238EA4-A97E-43A0-A9D2-13620007081D}" id="{9E33C6E2-6004-4CB5-BF87-EAC9340BF51B}">
    <text>They specify some claims (1, 2, 10-14)</text>
  </threadedComment>
  <threadedComment ref="M42" dT="2023-11-29T15:14:37.93" personId="{93238EA4-A97E-43A0-A9D2-13620007081D}" id="{43B9FCFA-1570-4A5E-B915-2DB63D8F2F3F}">
    <text>Darts</text>
  </threadedComment>
  <threadedComment ref="J43" dT="2023-11-27T18:29:19.63" personId="{93238EA4-A97E-43A0-A9D2-13620007081D}" id="{2018DAFE-55DE-4FC5-A39E-50A08808230B}">
    <text>Replacement of claims 1 to 10.</text>
  </threadedComment>
  <threadedComment ref="M44" dT="2023-11-29T15:16:21.34" personId="{93238EA4-A97E-43A0-A9D2-13620007081D}" id="{492540C2-BEEB-405F-B775-FABF9A3CE58D}">
    <text>Darts</text>
  </threadedComment>
  <threadedComment ref="C45" dT="2023-11-21T18:50:28.28" personId="{93238EA4-A97E-43A0-A9D2-13620007081D}" id="{B06D5D71-9FAC-43AB-B3BA-BC782B7D2F06}">
    <text>Siete 33, VI.</text>
  </threadedComment>
  <threadedComment ref="J45" dT="2023-11-27T14:20:38.51" personId="{93238EA4-A97E-43A0-A9D2-13620007081D}" id="{181A8FB7-E331-4F41-97F5-FA80B771B555}">
    <text>They specify some claims (1, 9, 10 &amp; 19)</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www.justiz.nrw.de/nrwe/lgs/duesseldorf/lg_duesseldorf/j2018/4a_O_15_17_Urteil_20181109.html" TargetMode="External"/><Relationship Id="rId18" Type="http://schemas.openxmlformats.org/officeDocument/2006/relationships/hyperlink" Target="https://www.katheraugenstein.com/app/uploads/2018-11-09-4a-O-17_17-EN-pdf.pdf" TargetMode="External"/><Relationship Id="rId26" Type="http://schemas.openxmlformats.org/officeDocument/2006/relationships/hyperlink" Target="http://www.justiz.nrw.de/nrwe/lgs/duesseldorf/lg_duesseldorf/j2020/4c_O_69_18_Anerkenntnisurteil_20200507.html" TargetMode="External"/><Relationship Id="rId39" Type="http://schemas.openxmlformats.org/officeDocument/2006/relationships/hyperlink" Target="https://www.katheraugenstein.com/app/uploads/2016-11-17-7-O-19_16-EN-pdf-3.pdf" TargetMode="External"/><Relationship Id="rId21" Type="http://schemas.openxmlformats.org/officeDocument/2006/relationships/hyperlink" Target="https://www.katheraugenstein.com/app/uploads/2018-07-11-4c-O-81_17-EN-pdf-2.pdf" TargetMode="External"/><Relationship Id="rId34" Type="http://schemas.openxmlformats.org/officeDocument/2006/relationships/hyperlink" Target="https://www.katheraugenstein.com/app/uploads/DE-LG-Mannheim-7-O-115-16.pdf" TargetMode="External"/><Relationship Id="rId42" Type="http://schemas.openxmlformats.org/officeDocument/2006/relationships/hyperlink" Target="http://lrbw.juris.de/cgi-bin/laender_rechtsprechung/document.py?Gericht=bw&amp;Datum=2023&amp;nr=21580&amp;Blank=1" TargetMode="External"/><Relationship Id="rId47" Type="http://schemas.openxmlformats.org/officeDocument/2006/relationships/hyperlink" Target="https://www.katheraugenstein.com/app/uploads/2021-03-02-LG-Mannheim-2-O-131-19-DE.pdf" TargetMode="External"/><Relationship Id="rId50" Type="http://schemas.openxmlformats.org/officeDocument/2006/relationships/hyperlink" Target="https://www.katheraugenstein.com/app/uploads/2020-08-18-LG-Mannheim-2-O-34_19-EN.pdf" TargetMode="External"/><Relationship Id="rId55" Type="http://schemas.openxmlformats.org/officeDocument/2006/relationships/hyperlink" Target="https://www.katheraugenstein.com/app/uploads/2020-09-10-LG-Muenchen-7-O-8818_19-DE.pdf" TargetMode="External"/><Relationship Id="rId63" Type="http://schemas.microsoft.com/office/2017/10/relationships/threadedComment" Target="../threadedComments/threadedComment1.xml"/><Relationship Id="rId7" Type="http://schemas.openxmlformats.org/officeDocument/2006/relationships/hyperlink" Target="https://www.katheraugenstein.com/app/uploads/2017-07-13-4a-O-16_16-DE-pdf-2.pdf" TargetMode="External"/><Relationship Id="rId2" Type="http://schemas.openxmlformats.org/officeDocument/2006/relationships/hyperlink" Target="http://www.justiz.nrw.de/nrwe/lgs/duesseldorf/lg_duesseldorf/j2016/4b_O_51_14_Schlussurteil_20160119.html" TargetMode="External"/><Relationship Id="rId16" Type="http://schemas.openxmlformats.org/officeDocument/2006/relationships/hyperlink" Target="http://www.justiz.nrw.de/nrwe/lgs/duesseldorf/lg_duesseldorf/j2018/4c_O_3_17_Urteil_20181221.html" TargetMode="External"/><Relationship Id="rId29" Type="http://schemas.openxmlformats.org/officeDocument/2006/relationships/hyperlink" Target="http://www.justiz.nrw.de/nrwe/lgs/duesseldorf/lg_duesseldorf/j2020/4c_O_17_19_Beschluss_20201126.html" TargetMode="External"/><Relationship Id="rId11" Type="http://schemas.openxmlformats.org/officeDocument/2006/relationships/hyperlink" Target="http://www.justiz.nrw.de/nrwe/lgs/duesseldorf/lg_duesseldorf/j2018/4c_O_72_17_Urteil_20180711.html" TargetMode="External"/><Relationship Id="rId24" Type="http://schemas.openxmlformats.org/officeDocument/2006/relationships/hyperlink" Target="http://www.justiz.nrw.de/nrwe/lgs/duesseldorf/lg_duesseldorf/j2020/4c_O_44_18_Urteil_20200507.html" TargetMode="External"/><Relationship Id="rId32" Type="http://schemas.openxmlformats.org/officeDocument/2006/relationships/hyperlink" Target="https://openjur.de/u/878158.html" TargetMode="External"/><Relationship Id="rId37" Type="http://schemas.openxmlformats.org/officeDocument/2006/relationships/hyperlink" Target="https://www.katheraugenstein.com/app/uploads/2018-09-28-7-O-165_16-EN-pdf-1-2.pdf" TargetMode="External"/><Relationship Id="rId40"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45" Type="http://schemas.openxmlformats.org/officeDocument/2006/relationships/hyperlink" Target="https://www.katheraugenstein.com/app/uploads/2020-08-21-LG-Mannheim-2-O-136_18-DE.pdf" TargetMode="External"/><Relationship Id="rId53" Type="http://schemas.openxmlformats.org/officeDocument/2006/relationships/hyperlink" Target="https://www.katheraugenstein.com/app/uploads/2021-01-28-LG-Muenchen-I-7-O-14276-20-DE.pdf" TargetMode="External"/><Relationship Id="rId58" Type="http://schemas.openxmlformats.org/officeDocument/2006/relationships/hyperlink" Target="https://www.gesetze-bayern.de/Content/Document/Y-300-Z-GRURRS-B-2020-N-22577?hl=true" TargetMode="External"/><Relationship Id="rId5" Type="http://schemas.openxmlformats.org/officeDocument/2006/relationships/hyperlink" Target="https://www.katheraugenstein.com/app/uploads/2016-03-31-4a-O-73_14-EN-pdf-1.pdf" TargetMode="External"/><Relationship Id="rId61" Type="http://schemas.openxmlformats.org/officeDocument/2006/relationships/vmlDrawing" Target="../drawings/vmlDrawing1.vml"/><Relationship Id="rId19" Type="http://schemas.openxmlformats.org/officeDocument/2006/relationships/hyperlink" Target="http://www.justiz.nrw.de/nrwe/lgs/duesseldorf/lg_duesseldorf/j2018/4a_O_17_17_Urteil_20181109.html" TargetMode="External"/><Relationship Id="rId14" Type="http://schemas.openxmlformats.org/officeDocument/2006/relationships/hyperlink" Target="https://www.katheraugenstein.com/app/uploads/2018-11-09-4a-O-15_17-DE-pdf.pdf" TargetMode="External"/><Relationship Id="rId22" Type="http://schemas.openxmlformats.org/officeDocument/2006/relationships/hyperlink" Target="http://www.justiz.nrw.de/nrwe/lgs/duesseldorf/lg_duesseldorf/j2018/4c_O_81_17_Urteil_20180711.html" TargetMode="External"/><Relationship Id="rId27" Type="http://schemas.openxmlformats.org/officeDocument/2006/relationships/hyperlink" Target="https://www.katheraugenstein.com/app/uploads/2020-11-26-LG-Duesseldorf-4c-O-17_19_DE.pdf" TargetMode="External"/><Relationship Id="rId30" Type="http://schemas.openxmlformats.org/officeDocument/2006/relationships/hyperlink" Target="https://openjur.de/u/884742.html" TargetMode="External"/><Relationship Id="rId35" Type="http://schemas.openxmlformats.org/officeDocument/2006/relationships/hyperlink" Target="https://www.katheraugenstein.com/app/uploads/EN-Regional-Court-Mannheim-7-O-115-16.pdf" TargetMode="External"/><Relationship Id="rId43" Type="http://schemas.openxmlformats.org/officeDocument/2006/relationships/hyperlink" Target="https://www.katheraugenstein.com/app/uploads/2018-03-02-7-O-18-17-DE-KBR-Richtig.pdf" TargetMode="External"/><Relationship Id="rId48" Type="http://schemas.openxmlformats.org/officeDocument/2006/relationships/hyperlink" Target="https://www.katheraugenstein.com/app/uploads/2021-03-02-LG-Mannheim-2-O-131-19-EN.pdf" TargetMode="External"/><Relationship Id="rId56" Type="http://schemas.openxmlformats.org/officeDocument/2006/relationships/hyperlink" Target="https://www.katheraugenstein.com/app/uploads/2020-09-10-LG-Muenchen-7-O-8818_19-EN.pdf" TargetMode="External"/><Relationship Id="rId8" Type="http://schemas.openxmlformats.org/officeDocument/2006/relationships/hyperlink" Target="https://www.katheraugenstein.com/app/uploads/2017-07-13-4a-O-16_16-EN-pdf-1.pdf" TargetMode="External"/><Relationship Id="rId51" Type="http://schemas.openxmlformats.org/officeDocument/2006/relationships/hyperlink" Target="https://www.katheraugenstein.com/app/uploads/2021-06-24-LG-Muenchen-7-O-36-21-DE.pdf" TargetMode="External"/><Relationship Id="rId3" Type="http://schemas.openxmlformats.org/officeDocument/2006/relationships/hyperlink" Target="http://www.justiz.nrw.de/nrwe/lgs/duesseldorf/lg_duesseldorf/j2016/4a_O_126_14_Teil_Verzichts_und_Schlussurteil_20160331.html" TargetMode="External"/><Relationship Id="rId12" Type="http://schemas.openxmlformats.org/officeDocument/2006/relationships/hyperlink" Target="http://www.justiz.nrw.de/nrwe/lgs/duesseldorf/lg_duesseldorf/j2018/4c_O_77_17_Urteil_20180711.html" TargetMode="External"/><Relationship Id="rId17" Type="http://schemas.openxmlformats.org/officeDocument/2006/relationships/hyperlink" Target="https://www.katheraugenstein.com/app/uploads/2018-11-09-4a-O-17_17-DE-pdf.pdf" TargetMode="External"/><Relationship Id="rId25" Type="http://schemas.openxmlformats.org/officeDocument/2006/relationships/hyperlink" Target="http://www.justiz.nrw.de/nrwe/lgs/duesseldorf/lg_duesseldorf/j2020/4c_O_56_18_Urteil_20200507.html" TargetMode="External"/><Relationship Id="rId33"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8" Type="http://schemas.openxmlformats.org/officeDocument/2006/relationships/hyperlink" Target="https://www.katheraugenstein.com/app/uploads/2016-11-17-7-O-19_16-DE-pdf-3.pdf" TargetMode="External"/><Relationship Id="rId46" Type="http://schemas.openxmlformats.org/officeDocument/2006/relationships/hyperlink" Target="https://www.katheraugenstein.com/app/uploads/2020-08-21-LG-Mannheim-2-O-136_18-EN.pdf" TargetMode="External"/><Relationship Id="rId59" Type="http://schemas.openxmlformats.org/officeDocument/2006/relationships/hyperlink" Target="https://www.gesetze-bayern.de/Content/Document/Y-300-Z-GRURRS-B-2021-N-3995?hl=true" TargetMode="External"/><Relationship Id="rId20" Type="http://schemas.openxmlformats.org/officeDocument/2006/relationships/hyperlink" Target="https://www.katheraugenstein.com/app/uploads/2018-07-11-4c-O-81_17-DE-pdf-2.pdf" TargetMode="External"/><Relationship Id="rId41" Type="http://schemas.openxmlformats.org/officeDocument/2006/relationships/hyperlink" Target="http://lrbw.juris.de/cgi-bin/laender_rechtsprechung/document.py?Gericht=bw&amp;nr=21580" TargetMode="External"/><Relationship Id="rId54" Type="http://schemas.openxmlformats.org/officeDocument/2006/relationships/hyperlink" Target="https://www.katheraugenstein.com/app/uploads/2021-01-28-LG-Muenchen-I-7-O-14276-20-EN.pdf" TargetMode="External"/><Relationship Id="rId62" Type="http://schemas.openxmlformats.org/officeDocument/2006/relationships/comments" Target="../comments1.xm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www.justiz.nrw.de/nrwe/lgs/duesseldorf/lg_duesseldorf/j2016/4a_O_73_14_Teil_Verzichts_und_Schlussurteil_20160331.html" TargetMode="External"/><Relationship Id="rId15" Type="http://schemas.openxmlformats.org/officeDocument/2006/relationships/hyperlink" Target="https://www.katheraugenstein.com/app/uploads/2018-11-09-4a-O-15_17-EN-pdf.pdf" TargetMode="External"/><Relationship Id="rId23" Type="http://schemas.openxmlformats.org/officeDocument/2006/relationships/hyperlink" Target="http://www.justiz.nrw.de/nrwe/lgs/duesseldorf/lg_duesseldorf/j2019/4c_O_12_17_Urteil_20190108.html" TargetMode="External"/><Relationship Id="rId28" Type="http://schemas.openxmlformats.org/officeDocument/2006/relationships/hyperlink" Target="https://www.katheraugenstein.com/app/uploads/2020-11-26-LG-Duesseldorf-4c-O-17_19_EN.pdf" TargetMode="External"/><Relationship Id="rId36" Type="http://schemas.openxmlformats.org/officeDocument/2006/relationships/hyperlink" Target="https://www.katheraugenstein.com/app/uploads/2018-07-13-7-O-165_16-DE-pdf-2.pdf" TargetMode="External"/><Relationship Id="rId49" Type="http://schemas.openxmlformats.org/officeDocument/2006/relationships/hyperlink" Target="https://www.katheraugenstein.com/app/uploads/2020-08-18-LG-Mannheim-2-O-34_19-DE.pdf" TargetMode="External"/><Relationship Id="rId57" Type="http://schemas.openxmlformats.org/officeDocument/2006/relationships/hyperlink" Target="https://www.gesetze-bayern.de/Content/Document/Y-300-Z-GRURRS-B-2021-N-23157" TargetMode="External"/><Relationship Id="rId10" Type="http://schemas.openxmlformats.org/officeDocument/2006/relationships/hyperlink" Target="http://www.justiz.nrw.de/nrwe/lgs/duesseldorf/lg_duesseldorf/j2017/4a_O_35_16_Urteil_20170713.html" TargetMode="External"/><Relationship Id="rId31"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44" Type="http://schemas.openxmlformats.org/officeDocument/2006/relationships/hyperlink" Target="https://www.katheraugenstein.com/app/uploads/2018-03-02-7-O-18_17-EN-pdf.pdf" TargetMode="External"/><Relationship Id="rId52" Type="http://schemas.openxmlformats.org/officeDocument/2006/relationships/hyperlink" Target="https://www.katheraugenstein.com/app/uploads/2021-06-24-RC-Munich-7-O-36-21-EN.pdf" TargetMode="External"/><Relationship Id="rId60" Type="http://schemas.openxmlformats.org/officeDocument/2006/relationships/hyperlink" Target="https://www.gesetze-bayern.de/Content/Document/Y-300-Z-GRURRS-B-2021-N-17662?hl=true" TargetMode="External"/><Relationship Id="rId4" Type="http://schemas.openxmlformats.org/officeDocument/2006/relationships/hyperlink" Target="https://www.katheraugenstein.com/app/uploads/2016-03-31-4a-O-73_14-DE-pdf-2.pdf" TargetMode="External"/><Relationship Id="rId9" Type="http://schemas.openxmlformats.org/officeDocument/2006/relationships/hyperlink" Target="http://www.justiz.nrw.de/nrwe/lgs/duesseldorf/lg_duesseldorf/j2017/4a_O_16_16_Urteil_20170713.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katheraugenstein.com/app/uploads/2017-11-10-7-O-28_16-EN-pdf-1.pdf" TargetMode="External"/><Relationship Id="rId13" Type="http://schemas.openxmlformats.org/officeDocument/2006/relationships/hyperlink" Target="https://www.katheraugenstein.com/app/uploads/LG-Muenchen-I-05.08.2022-21-O-11522_21-Pitch-Lag-Schaetzung-EN.pdf" TargetMode="External"/><Relationship Id="rId18" Type="http://schemas.openxmlformats.org/officeDocument/2006/relationships/hyperlink" Target="https://www.katheraugenstein.com/app/uploads/2023-04-19-Regional-Court-Munich-I-21-O-1910_22-Rahmenloeschung_en.pdf" TargetMode="External"/><Relationship Id="rId26" Type="http://schemas.openxmlformats.org/officeDocument/2006/relationships/hyperlink" Target="https://www.katheraugenstein.com/app/uploads/2020-09-10-LG-Muenchen-7-O-8818_19-DE.pdf" TargetMode="External"/><Relationship Id="rId3" Type="http://schemas.openxmlformats.org/officeDocument/2006/relationships/hyperlink" Target="https://www.katheraugenstein.com/app/uploads/2023-08-01-Landgericht-Mannheim-Beschluss-vom-14.04.2023-Az.-7-O-91_22.pdf" TargetMode="External"/><Relationship Id="rId21" Type="http://schemas.openxmlformats.org/officeDocument/2006/relationships/hyperlink" Target="https://www.katheraugenstein.com/app/uploads/2023-02-17-LG-Muenchen-21-O-4140_21.pdf" TargetMode="External"/><Relationship Id="rId7" Type="http://schemas.openxmlformats.org/officeDocument/2006/relationships/hyperlink" Target="https://www.katheraugenstein.com/app/uploads/2017-11-10-7-O-28_16-DE-pdf-1.pdf" TargetMode="External"/><Relationship Id="rId12" Type="http://schemas.openxmlformats.org/officeDocument/2006/relationships/hyperlink" Target="https://www.katheraugenstein.com/app/uploads/LG-Muenchen-I-05.08.2022-21-O-11522_21-Pitch-Lag-Schaetzung.pdf" TargetMode="External"/><Relationship Id="rId17" Type="http://schemas.openxmlformats.org/officeDocument/2006/relationships/hyperlink" Target="https://www.katheraugenstein.com/app/uploads/2023-04-19-LG-Muenchen-I-21-O-1910_22-Rahmenloeschung.pdf" TargetMode="External"/><Relationship Id="rId25" Type="http://schemas.openxmlformats.org/officeDocument/2006/relationships/hyperlink" Target="https://www.katheraugenstein.com/app/uploads/EN-21-O-9333-19.pdf" TargetMode="External"/><Relationship Id="rId2" Type="http://schemas.openxmlformats.org/officeDocument/2006/relationships/hyperlink" Target="https://www.katheraugenstein.com/app/uploads/2019-04-24-4c-O-24_19-EN.pdf" TargetMode="External"/><Relationship Id="rId16" Type="http://schemas.openxmlformats.org/officeDocument/2006/relationships/hyperlink" Target="https://www.katheraugenstein.com/app/uploads/2022-05-25-Regional-Court-Munich-I-7-O-14091_19-Sprachsignalcodierer-II-EN.pdf" TargetMode="External"/><Relationship Id="rId20" Type="http://schemas.openxmlformats.org/officeDocument/2006/relationships/hyperlink" Target="https://www.gesetze-bayern.de/Content/Document/Y-300-Z-GRURRS-B-2023-N-11247?hl=true" TargetMode="External"/><Relationship Id="rId29" Type="http://schemas.openxmlformats.org/officeDocument/2006/relationships/hyperlink" Target="https://www.gesetze-bayern.de/Content/Document/Y-300-Z-GRURRS-B-2022-N-13480?hl=true" TargetMode="External"/><Relationship Id="rId1" Type="http://schemas.openxmlformats.org/officeDocument/2006/relationships/hyperlink" Target="https://www.katheraugenstein.com/app/uploads/2019-04-24-4c-O-24_19-DE.pdf" TargetMode="External"/><Relationship Id="rId6" Type="http://schemas.openxmlformats.org/officeDocument/2006/relationships/hyperlink" Target="https://www.katheraugenstein.com/app/uploads/2022-07-05-Regional-Court-Mannheim-2-O-75_21-LTE-Mobilfunkstandard-EN.pdf" TargetMode="External"/><Relationship Id="rId11"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24" Type="http://schemas.openxmlformats.org/officeDocument/2006/relationships/hyperlink" Target="https://www.katheraugenstein.com/app/uploads/DE-21-O-9333-19.pdf" TargetMode="External"/><Relationship Id="rId32" Type="http://schemas.microsoft.com/office/2017/10/relationships/threadedComment" Target="../threadedComments/threadedComment2.xml"/><Relationship Id="rId5" Type="http://schemas.openxmlformats.org/officeDocument/2006/relationships/hyperlink" Target="https://www.katheraugenstein.com/app/uploads/2022-07-05-LG-Mannheim-2-O-75_21-LTE-Mobilfunkstandard.pdf" TargetMode="External"/><Relationship Id="rId15" Type="http://schemas.openxmlformats.org/officeDocument/2006/relationships/hyperlink" Target="https://www.katheraugenstein.com/app/uploads/2022-05-25-LG-Muenchen-I-7-O-14091_19-Sprachsignalcodierer-II.pdf" TargetMode="External"/><Relationship Id="rId23" Type="http://schemas.openxmlformats.org/officeDocument/2006/relationships/hyperlink" Target="https://www.gesetze-bayern.de/Content/Document/Y-300-Z-BECKRS-B-2019-N-25536?hl=true" TargetMode="External"/><Relationship Id="rId28" Type="http://schemas.openxmlformats.org/officeDocument/2006/relationships/hyperlink" Target="https://www.gesetze-bayern.de/Content/Document/Y-300-Z-GRURRS-B-2020-N-22577?hl=true" TargetMode="External"/><Relationship Id="rId10" Type="http://schemas.openxmlformats.org/officeDocument/2006/relationships/hyperlink" Target="https://www.katheraugenstein.com/app/uploads/2015-11-27-2-O-106_14-EN-pdf-1.pdf" TargetMode="External"/><Relationship Id="rId19" Type="http://schemas.openxmlformats.org/officeDocument/2006/relationships/hyperlink" Target="https://www.gesetze-bayern.de/Content/Document/Y-300-Z-GRURRS-B-2023-N-18036?hl=true" TargetMode="External"/><Relationship Id="rId31" Type="http://schemas.openxmlformats.org/officeDocument/2006/relationships/comments" Target="../comments2.xml"/><Relationship Id="rId4" Type="http://schemas.openxmlformats.org/officeDocument/2006/relationships/hyperlink" Target="https://www.katheraugenstein.com/app/uploads/2023-08-01-Regional-Court-Mannheim_-Decision-14.04.2023_-Az.-7-O-91_22.pdf" TargetMode="External"/><Relationship Id="rId9" Type="http://schemas.openxmlformats.org/officeDocument/2006/relationships/hyperlink" Target="https://www.katheraugenstein.com/app/uploads/2015-11-27-2-O-106_-14-DE-pdf.pdf" TargetMode="External"/><Relationship Id="rId14" Type="http://schemas.openxmlformats.org/officeDocument/2006/relationships/hyperlink" Target="https://www.gesetze-bayern.de/Content/Document/Y-300-Z-GRURRS-B-2022-N-26267?hl=true" TargetMode="External"/><Relationship Id="rId22" Type="http://schemas.openxmlformats.org/officeDocument/2006/relationships/hyperlink" Target="https://www.katheraugenstein.com/app/uploads/2023-02-17-Regional-Court-Munich-21-O-4140_21.pdf" TargetMode="External"/><Relationship Id="rId27" Type="http://schemas.openxmlformats.org/officeDocument/2006/relationships/hyperlink" Target="https://www.katheraugenstein.com/app/uploads/2020-09-10-LG-Muenchen-7-O-8818_19-EN.pdf" TargetMode="External"/><Relationship Id="rId30"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hyperlink" Target="https://www.justiz.nrw.de/nrwe/lgs/duesseldorf/lg_duesseldorf/j2017/14d_O_13_17_Urteil_20171109.html" TargetMode="External"/><Relationship Id="rId3" Type="http://schemas.openxmlformats.org/officeDocument/2006/relationships/hyperlink" Target="https://www.justiz.nrw.de/nrwe/lgs/duesseldorf/lg_duesseldorf/j2016/4b_O_52_14_Schlussurteil_20160119.html" TargetMode="External"/><Relationship Id="rId7" Type="http://schemas.openxmlformats.org/officeDocument/2006/relationships/hyperlink" Target="https://www.justiz.nrw.de/nrwe/lgs/duesseldorf/lg_duesseldorf/j2017/4a_O_154_15_Urteil_20170713.html" TargetMode="External"/><Relationship Id="rId12" Type="http://schemas.microsoft.com/office/2017/10/relationships/threadedComment" Target="../threadedComments/threadedComment3.xml"/><Relationship Id="rId2" Type="http://schemas.openxmlformats.org/officeDocument/2006/relationships/hyperlink" Target="https://www.justiz.nrw.de/nrwe/lgs/duesseldorf/lg_duesseldorf/j2016/4b_O_52_14_Schlussurteil_20160119.html" TargetMode="External"/><Relationship Id="rId1" Type="http://schemas.openxmlformats.org/officeDocument/2006/relationships/hyperlink" Target="https://www.justiz.nrw.de/nrwe/lgs/duesseldorf/lg_duesseldorf/j2016/4b_O_52_14_Schlussurteil_20160119.html" TargetMode="External"/><Relationship Id="rId6" Type="http://schemas.openxmlformats.org/officeDocument/2006/relationships/hyperlink" Target="https://www.justiz.nrw.de/nrwe/lgs/duesseldorf/lg_duesseldorf/j2017/4a_O_154_15_Urteil_20170713.html" TargetMode="External"/><Relationship Id="rId11" Type="http://schemas.openxmlformats.org/officeDocument/2006/relationships/comments" Target="../comments3.xml"/><Relationship Id="rId5" Type="http://schemas.openxmlformats.org/officeDocument/2006/relationships/hyperlink" Target="https://www.justiz.nrw.de/nrwe/lgs/duesseldorf/lg_duesseldorf/j2017/4a_O_27_16_Urteil_20170713.html" TargetMode="External"/><Relationship Id="rId10" Type="http://schemas.openxmlformats.org/officeDocument/2006/relationships/vmlDrawing" Target="../drawings/vmlDrawing3.vml"/><Relationship Id="rId4" Type="http://schemas.openxmlformats.org/officeDocument/2006/relationships/hyperlink" Target="https://www.justiz.nrw.de/nrwe/lgs/duesseldorf/lg_duesseldorf/j2017/4a_O_27_16_Urteil_20170713.html" TargetMode="External"/><Relationship Id="rId9" Type="http://schemas.openxmlformats.org/officeDocument/2006/relationships/hyperlink" Target="https://www.justiz.nrw.de/nrwe/lgs/duesseldorf/lg_duesseldorf/j2017/14d_O_13_17_Urteil_20171109.html"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katheraugenstein.com/app/uploads/2020-11-26-LG-Duesseldorf-4c-O-17_19_DE.pdf" TargetMode="External"/><Relationship Id="rId21" Type="http://schemas.openxmlformats.org/officeDocument/2006/relationships/hyperlink" Target="http://www.justiz.nrw.de/nrwe/lgs/duesseldorf/lg_duesseldorf/j2018/4c_O_81_17_Urteil_20180711.html" TargetMode="External"/><Relationship Id="rId42" Type="http://schemas.openxmlformats.org/officeDocument/2006/relationships/hyperlink" Target="https://www.katheraugenstein.com/app/uploads/2018-03-02-7-O-18-17-DE-KBR-Richtig.pdf" TargetMode="External"/><Relationship Id="rId47" Type="http://schemas.openxmlformats.org/officeDocument/2006/relationships/hyperlink" Target="https://www.katheraugenstein.com/app/uploads/2021-03-02-LG-Mannheim-2-O-131-19-EN.pdf" TargetMode="External"/><Relationship Id="rId63" Type="http://schemas.openxmlformats.org/officeDocument/2006/relationships/hyperlink" Target="https://www.gesetze-bayern.de/Content/Document/Y-300-Z-GRURRS-B-2023-N-18036?hl=true" TargetMode="External"/><Relationship Id="rId68" Type="http://schemas.openxmlformats.org/officeDocument/2006/relationships/hyperlink" Target="http://juris.bundespatentgericht.de/cgi-bin/rechtsprechung/document.py?Gericht=bpatg&amp;Art=en&amp;sid=cceed9fc9f9ffc523f1ae12263bfc901&amp;nr=39046&amp;pos=0&amp;anz=1&amp;Blank=1.pdf" TargetMode="External"/><Relationship Id="rId84" Type="http://schemas.openxmlformats.org/officeDocument/2006/relationships/hyperlink" Target="http://juris.bundespatentgericht.de/cgi-bin/rechtsprechung/document.py?Gericht=bpatg&amp;Art=en&amp;sid=5688c2d62c5fd7a11b2b8759c2350e57&amp;nr=36914&amp;pos=0&amp;anz=1&amp;Blank=1.pdf" TargetMode="External"/><Relationship Id="rId89" Type="http://schemas.openxmlformats.org/officeDocument/2006/relationships/hyperlink" Target="https://www.justiz.nrw.de/nrwe/lgs/duesseldorf/lg_duesseldorf/j2017/4a_O_27_16_Urteil_20170713.html" TargetMode="External"/><Relationship Id="rId16" Type="http://schemas.openxmlformats.org/officeDocument/2006/relationships/hyperlink" Target="https://www.katheraugenstein.com/app/uploads/2018-11-09-4a-O-17_17-DE-pdf.pdf" TargetMode="External"/><Relationship Id="rId11" Type="http://schemas.openxmlformats.org/officeDocument/2006/relationships/hyperlink" Target="http://www.justiz.nrw.de/nrwe/lgs/duesseldorf/lg_duesseldorf/j2018/4c_O_77_17_Urteil_20180711.html" TargetMode="External"/><Relationship Id="rId32" Type="http://schemas.openxmlformats.org/officeDocument/2006/relationships/hyperlink" Target="http://lrbw.juris.de/cgi-bin/laender_rechtsprechung/document.py?Gericht=bw&amp;GerichtAuswahl=Landgerichte&amp;Art=en&amp;sid=8366362dbe6de75dedf5f0aa93fa55fa&amp;nr=20430&amp;anz=1&amp;pos=0&amp;Blank=1" TargetMode="External"/><Relationship Id="rId37" Type="http://schemas.openxmlformats.org/officeDocument/2006/relationships/hyperlink" Target="https://www.katheraugenstein.com/app/uploads/2016-11-17-7-O-19_16-DE-pdf-3.pdf" TargetMode="External"/><Relationship Id="rId53" Type="http://schemas.openxmlformats.org/officeDocument/2006/relationships/hyperlink" Target="https://www.katheraugenstein.com/app/uploads/2017-11-10-7-O-28_16-DE-pdf-1.pdf" TargetMode="External"/><Relationship Id="rId58" Type="http://schemas.openxmlformats.org/officeDocument/2006/relationships/hyperlink" Target="https://www.katheraugenstein.com/app/uploads/LG-Muenchen-I-05.08.2022-21-O-11522_21-Pitch-Lag-Schaetzung.pdf" TargetMode="External"/><Relationship Id="rId74" Type="http://schemas.openxmlformats.org/officeDocument/2006/relationships/hyperlink" Target="http://juris.bundespatentgericht.de/cgi-bin/rechtsprechung/document.py?Gericht=bpatg&amp;Art=en&amp;sid=72dab1f480256d994d46d296e1d81f0e&amp;nr=34383&amp;pos=0&amp;anz=1&amp;Blank=1.pdf" TargetMode="External"/><Relationship Id="rId79" Type="http://schemas.openxmlformats.org/officeDocument/2006/relationships/hyperlink" Target="http://juris.bundespatentgericht.de/cgi-bin/rechtsprechung/document.py?Gericht=bpatg&amp;Art=en&amp;sid=3652ff2c1f99b1fe95e3eef59630f1fa&amp;nr=38914&amp;pos=0&amp;anz=1&amp;Blank=1.pdf" TargetMode="External"/><Relationship Id="rId5" Type="http://schemas.openxmlformats.org/officeDocument/2006/relationships/hyperlink" Target="http://www.justiz.nrw.de/nrwe/lgs/duesseldorf/lg_duesseldorf/j2016/4a_O_73_14_Teil_Verzichts_und_Schlussurteil_20160331.html" TargetMode="External"/><Relationship Id="rId90" Type="http://schemas.openxmlformats.org/officeDocument/2006/relationships/hyperlink" Target="http://juris.bundespatentgericht.de/cgi-bin/rechtsprechung/document.py?Gericht=bpatg&amp;Art=en&amp;sid=9be8db4304df34a7cf8fe900676cd57d&amp;nr=37403&amp;pos=0&amp;anz=1&amp;Blank=1.pdf" TargetMode="External"/><Relationship Id="rId95" Type="http://schemas.microsoft.com/office/2017/10/relationships/threadedComment" Target="../threadedComments/threadedComment4.xml"/><Relationship Id="rId22" Type="http://schemas.openxmlformats.org/officeDocument/2006/relationships/hyperlink" Target="http://www.justiz.nrw.de/nrwe/lgs/duesseldorf/lg_duesseldorf/j2019/4c_O_12_17_Urteil_20190108.html" TargetMode="External"/><Relationship Id="rId27" Type="http://schemas.openxmlformats.org/officeDocument/2006/relationships/hyperlink" Target="https://www.katheraugenstein.com/app/uploads/2020-11-26-LG-Duesseldorf-4c-O-17_19_EN.pdf" TargetMode="External"/><Relationship Id="rId43" Type="http://schemas.openxmlformats.org/officeDocument/2006/relationships/hyperlink" Target="https://www.katheraugenstein.com/app/uploads/2018-03-02-7-O-18_17-EN-pdf.pdf" TargetMode="External"/><Relationship Id="rId48" Type="http://schemas.openxmlformats.org/officeDocument/2006/relationships/hyperlink" Target="https://www.katheraugenstein.com/app/uploads/2020-08-18-LG-Mannheim-2-O-34_19-DE.pdf" TargetMode="External"/><Relationship Id="rId64" Type="http://schemas.openxmlformats.org/officeDocument/2006/relationships/hyperlink" Target="http://juris.bundespatentgericht.de/cgi-bin/rechtsprechung/document.py?Gericht=bpatg&amp;Art=en&amp;sid=1d78632798b85c831df59d6be5dfa5b4&amp;nr=29853&amp;pos=0&amp;anz=1&amp;Blank=1.pdf" TargetMode="External"/><Relationship Id="rId69" Type="http://schemas.openxmlformats.org/officeDocument/2006/relationships/hyperlink" Target="http://juris.bundespatentgericht.de/cgi-bin/rechtsprechung/document.py?Gericht=bpatg&amp;Art=en&amp;sid=cceed9fc9f9ffc523f1ae12263bfc901&amp;nr=39046&amp;pos=0&amp;anz=1&amp;Blank=1.pdf" TargetMode="External"/><Relationship Id="rId8" Type="http://schemas.openxmlformats.org/officeDocument/2006/relationships/hyperlink" Target="http://www.justiz.nrw.de/nrwe/lgs/duesseldorf/lg_duesseldorf/j2017/4a_O_16_16_Urteil_20170713.html" TargetMode="External"/><Relationship Id="rId51" Type="http://schemas.openxmlformats.org/officeDocument/2006/relationships/hyperlink" Target="https://www.katheraugenstein.com/app/uploads/2022-07-05-LG-Mannheim-2-O-75_21-LTE-Mobilfunkstandard.pdf" TargetMode="External"/><Relationship Id="rId72" Type="http://schemas.openxmlformats.org/officeDocument/2006/relationships/hyperlink" Target="http://juris.bundespatentgericht.de/cgi-bin/rechtsprechung/document.py?Gericht=bpatg&amp;Art=en&amp;sid=512d6819bb3a9180b75a48161f5aff05&amp;nr=43641&amp;pos=0&amp;anz=1&amp;Blank=1.pdf" TargetMode="External"/><Relationship Id="rId80" Type="http://schemas.openxmlformats.org/officeDocument/2006/relationships/hyperlink" Target="http://juris.bundespatentgericht.de/cgi-bin/rechtsprechung/document.py?Gericht=bpatg&amp;Art=en&amp;sid=c6c57cea8d597be4ddff88df5e0c1bd4&amp;nr=42398&amp;pos=0&amp;anz=1&amp;Blank=1.pdf" TargetMode="External"/><Relationship Id="rId85" Type="http://schemas.openxmlformats.org/officeDocument/2006/relationships/hyperlink" Target="http://juris.bundespatentgericht.de/cgi-bin/rechtsprechung/document.py?Gericht=bpatg&amp;Art=en&amp;sid=0bea35bd8712808b6b1afc35cd8c17f9&amp;nr=34416&amp;pos=0&amp;anz=1&amp;Blank=1.pdf" TargetMode="External"/><Relationship Id="rId93" Type="http://schemas.openxmlformats.org/officeDocument/2006/relationships/vmlDrawing" Target="../drawings/vmlDrawing4.vml"/><Relationship Id="rId3" Type="http://schemas.openxmlformats.org/officeDocument/2006/relationships/hyperlink" Target="https://www.katheraugenstein.com/app/uploads/2016-03-31-4a-O-73_14-DE-pdf-2.pdf" TargetMode="External"/><Relationship Id="rId12" Type="http://schemas.openxmlformats.org/officeDocument/2006/relationships/hyperlink" Target="http://www.justiz.nrw.de/nrwe/lgs/duesseldorf/lg_duesseldorf/j2018/4a_O_15_17_Urteil_20181109.html" TargetMode="External"/><Relationship Id="rId17" Type="http://schemas.openxmlformats.org/officeDocument/2006/relationships/hyperlink" Target="https://www.katheraugenstein.com/app/uploads/2018-11-09-4a-O-17_17-EN-pdf.pdf" TargetMode="External"/><Relationship Id="rId25" Type="http://schemas.openxmlformats.org/officeDocument/2006/relationships/hyperlink" Target="http://www.justiz.nrw.de/nrwe/lgs/duesseldorf/lg_duesseldorf/j2020/4c_O_69_18_Anerkenntnisurteil_20200507.html" TargetMode="External"/><Relationship Id="rId33" Type="http://schemas.openxmlformats.org/officeDocument/2006/relationships/hyperlink" Target="https://www.katheraugenstein.com/app/uploads/DE-LG-Mannheim-7-O-115-16.pdf" TargetMode="External"/><Relationship Id="rId38" Type="http://schemas.openxmlformats.org/officeDocument/2006/relationships/hyperlink" Target="https://www.katheraugenstein.com/app/uploads/2016-11-17-7-O-19_16-EN-pdf-3.pdf" TargetMode="External"/><Relationship Id="rId46" Type="http://schemas.openxmlformats.org/officeDocument/2006/relationships/hyperlink" Target="https://www.katheraugenstein.com/app/uploads/2021-03-02-LG-Mannheim-2-O-131-19-DE.pdf" TargetMode="External"/><Relationship Id="rId59" Type="http://schemas.openxmlformats.org/officeDocument/2006/relationships/hyperlink" Target="https://www.katheraugenstein.com/app/uploads/LG-Muenchen-I-05.08.2022-21-O-11522_21-Pitch-Lag-Schaetzung-EN.pdf" TargetMode="External"/><Relationship Id="rId67" Type="http://schemas.openxmlformats.org/officeDocument/2006/relationships/hyperlink" Target="http://juris.bundespatentgericht.de/cgi-bin/rechtsprechung/document.py?Gericht=bpatg&amp;Art=en&amp;sid=1d78632798b85c831df59d6be5dfa5b4&amp;nr=29853&amp;pos=0&amp;anz=1&amp;Blank=1.pdf" TargetMode="External"/><Relationship Id="rId20" Type="http://schemas.openxmlformats.org/officeDocument/2006/relationships/hyperlink" Target="https://www.katheraugenstein.com/app/uploads/2018-07-11-4c-O-81_17-EN-pdf-2.pdf" TargetMode="External"/><Relationship Id="rId41" Type="http://schemas.openxmlformats.org/officeDocument/2006/relationships/hyperlink" Target="http://lrbw.juris.de/cgi-bin/laender_rechtsprechung/document.py?Gericht=bw&amp;Datum=2023&amp;nr=21580&amp;Blank=1" TargetMode="External"/><Relationship Id="rId54" Type="http://schemas.openxmlformats.org/officeDocument/2006/relationships/hyperlink" Target="https://www.katheraugenstein.com/app/uploads/2017-11-10-7-O-28_16-EN-pdf-1.pdf" TargetMode="External"/><Relationship Id="rId62" Type="http://schemas.openxmlformats.org/officeDocument/2006/relationships/hyperlink" Target="https://www.katheraugenstein.com/app/uploads/2023-04-19-Regional-Court-Munich-I-21-O-1910_22-Rahmenloeschung_en.pdf" TargetMode="External"/><Relationship Id="rId70" Type="http://schemas.openxmlformats.org/officeDocument/2006/relationships/hyperlink" Target="http://juris.bundespatentgericht.de/cgi-bin/rechtsprechung/document.py?Gericht=bpatg&amp;Art=en&amp;sid=cceed9fc9f9ffc523f1ae12263bfc901&amp;nr=39046&amp;pos=0&amp;anz=1&amp;Blank=1.pdf" TargetMode="External"/><Relationship Id="rId75" Type="http://schemas.openxmlformats.org/officeDocument/2006/relationships/hyperlink" Target="http://juris.bundespatentgericht.de/cgi-bin/rechtsprechung/document.py?Gericht=bpatg&amp;Art=en&amp;sid=75f141e9346b099fa6b6be07eb8d05a5&amp;nr=39474&amp;pos=0&amp;anz=1&amp;Blank=1.pdf" TargetMode="External"/><Relationship Id="rId83" Type="http://schemas.openxmlformats.org/officeDocument/2006/relationships/hyperlink" Target="http://juris.bundespatentgericht.de/cgi-bin/rechtsprechung/document.py?Gericht=bpatg&amp;Art=en&amp;sid=ddb6b4977af588ff2df7ce84427473b5&amp;nr=34377&amp;pos=0&amp;anz=1&amp;Blank=1.pdf" TargetMode="External"/><Relationship Id="rId88" Type="http://schemas.openxmlformats.org/officeDocument/2006/relationships/hyperlink" Target="https://www.justiz.nrw.de/nrwe/lgs/duesseldorf/lg_duesseldorf/j2017/4a_O_154_15_Urteil_20170713.html" TargetMode="External"/><Relationship Id="rId91" Type="http://schemas.openxmlformats.org/officeDocument/2006/relationships/hyperlink" Target="http://juris.bundespatentgericht.de/cgi-bin/rechtsprechung/document.py?Gericht=bpatg&amp;Art=en&amp;sid=aff07b20593ede41bbe8007fa65d4a0d&amp;nr=28089&amp;pos=1&amp;anz=2&amp;Blank=1.pdf" TargetMode="External"/><Relationship Id="rId1" Type="http://schemas.openxmlformats.org/officeDocument/2006/relationships/hyperlink" Target="http://www.justiz.nrw.de/nrwe/lgs/duesseldorf/lg_duesseldorf/j2015/4a_O_144_14_Urteil_20151103.html" TargetMode="External"/><Relationship Id="rId6" Type="http://schemas.openxmlformats.org/officeDocument/2006/relationships/hyperlink" Target="https://www.katheraugenstein.com/app/uploads/2017-07-13-4a-O-16_16-DE-pdf-2.pdf" TargetMode="External"/><Relationship Id="rId15" Type="http://schemas.openxmlformats.org/officeDocument/2006/relationships/hyperlink" Target="http://www.justiz.nrw.de/nrwe/lgs/duesseldorf/lg_duesseldorf/j2018/4c_O_3_17_Urteil_20181221.html" TargetMode="External"/><Relationship Id="rId23" Type="http://schemas.openxmlformats.org/officeDocument/2006/relationships/hyperlink" Target="http://www.justiz.nrw.de/nrwe/lgs/duesseldorf/lg_duesseldorf/j2020/4c_O_44_18_Urteil_20200507.html" TargetMode="External"/><Relationship Id="rId28" Type="http://schemas.openxmlformats.org/officeDocument/2006/relationships/hyperlink" Target="http://www.justiz.nrw.de/nrwe/lgs/duesseldorf/lg_duesseldorf/j2020/4c_O_17_19_Beschluss_20201126.html" TargetMode="External"/><Relationship Id="rId36" Type="http://schemas.openxmlformats.org/officeDocument/2006/relationships/hyperlink" Target="https://www.katheraugenstein.com/app/uploads/2018-09-28-7-O-165_16-EN-pdf-1-2.pdf" TargetMode="External"/><Relationship Id="rId49" Type="http://schemas.openxmlformats.org/officeDocument/2006/relationships/hyperlink" Target="https://www.katheraugenstein.com/app/uploads/2020-08-18-LG-Mannheim-2-O-34_19-EN.pdf" TargetMode="External"/><Relationship Id="rId57" Type="http://schemas.openxmlformats.org/officeDocument/2006/relationships/hyperlink" Target="http://lrbw.juris.de/cgi-bin/laender_rechtsprechung/document.py?Gericht=bw&amp;GerichtAuswahl=Landgerichte&amp;Art=en&amp;sid=f3caef45b2432c5f65740b9bb5cc38da&amp;nr=20078&amp;anz=1&amp;pos=0&amp;Blank=1" TargetMode="External"/><Relationship Id="rId10" Type="http://schemas.openxmlformats.org/officeDocument/2006/relationships/hyperlink" Target="http://www.justiz.nrw.de/nrwe/lgs/duesseldorf/lg_duesseldorf/j2018/4c_O_72_17_Urteil_20180711.html" TargetMode="External"/><Relationship Id="rId31" Type="http://schemas.openxmlformats.org/officeDocument/2006/relationships/hyperlink" Target="https://openjur.de/u/878158.html" TargetMode="External"/><Relationship Id="rId44" Type="http://schemas.openxmlformats.org/officeDocument/2006/relationships/hyperlink" Target="https://www.katheraugenstein.com/app/uploads/2020-08-21-LG-Mannheim-2-O-136_18-DE.pdf" TargetMode="External"/><Relationship Id="rId52" Type="http://schemas.openxmlformats.org/officeDocument/2006/relationships/hyperlink" Target="https://www.katheraugenstein.com/app/uploads/2022-07-05-Regional-Court-Mannheim-2-O-75_21-LTE-Mobilfunkstandard-EN.pdf" TargetMode="External"/><Relationship Id="rId60" Type="http://schemas.openxmlformats.org/officeDocument/2006/relationships/hyperlink" Target="https://www.gesetze-bayern.de/Content/Document/Y-300-Z-GRURRS-B-2022-N-26267?hl=true" TargetMode="External"/><Relationship Id="rId65" Type="http://schemas.openxmlformats.org/officeDocument/2006/relationships/hyperlink" Target="http://juris.bundespatentgericht.de/cgi-bin/rechtsprechung/document.py?Gericht=bpatg&amp;Art=en&amp;sid=14e273bb9e03002bf8855902c01530ec&amp;nr=29046&amp;pos=0&amp;anz=1&amp;Blank=1.pdf" TargetMode="External"/><Relationship Id="rId73" Type="http://schemas.openxmlformats.org/officeDocument/2006/relationships/hyperlink" Target="http://juris.bundespatentgericht.de/cgi-bin/rechtsprechung/document.py?Gericht=bpatg&amp;Art=en&amp;sid=53950807634dcf53171690d1a110fef0&amp;nr=43025&amp;pos=0&amp;anz=1&amp;Blank=1.pdf" TargetMode="External"/><Relationship Id="rId78" Type="http://schemas.openxmlformats.org/officeDocument/2006/relationships/hyperlink" Target="http://juris.bundespatentgericht.de/cgi-bin/rechtsprechung/document.py?Gericht=bpatg&amp;Art=en&amp;sid=94908c89b72e65e1f7d29010c2144ab1&amp;nr=43267&amp;pos=0&amp;anz=1&amp;Blank=1.pdf" TargetMode="External"/><Relationship Id="rId81" Type="http://schemas.openxmlformats.org/officeDocument/2006/relationships/hyperlink" Target="http://juris.bundespatentgericht.de/cgi-bin/rechtsprechung/document.py?Gericht=bpatg&amp;Art=en&amp;sid=591686bf13eeae126c67a6bd158e28d8&amp;nr=29077&amp;pos=0&amp;anz=1&amp;Blank=1.pdf" TargetMode="External"/><Relationship Id="rId86" Type="http://schemas.openxmlformats.org/officeDocument/2006/relationships/hyperlink" Target="http://juris.bundespatentgericht.de/cgi-bin/rechtsprechung/document.py?Gericht=bpatg&amp;Art=en&amp;sid=c7af110d065a7de705de0f054d1a4b27&amp;nr=38914&amp;pos=0&amp;anz=1&amp;Blank=1.pdf" TargetMode="External"/><Relationship Id="rId94" Type="http://schemas.openxmlformats.org/officeDocument/2006/relationships/comments" Target="../comments4.xml"/><Relationship Id="rId4" Type="http://schemas.openxmlformats.org/officeDocument/2006/relationships/hyperlink" Target="https://www.katheraugenstein.com/app/uploads/2016-03-31-4a-O-73_14-EN-pdf-1.pdf" TargetMode="External"/><Relationship Id="rId9" Type="http://schemas.openxmlformats.org/officeDocument/2006/relationships/hyperlink" Target="http://www.justiz.nrw.de/nrwe/lgs/duesseldorf/lg_duesseldorf/j2017/4a_O_35_16_Urteil_20170713.html" TargetMode="External"/><Relationship Id="rId13" Type="http://schemas.openxmlformats.org/officeDocument/2006/relationships/hyperlink" Target="https://www.katheraugenstein.com/app/uploads/2018-11-09-4a-O-15_17-DE-pdf.pdf" TargetMode="External"/><Relationship Id="rId18" Type="http://schemas.openxmlformats.org/officeDocument/2006/relationships/hyperlink" Target="http://www.justiz.nrw.de/nrwe/lgs/duesseldorf/lg_duesseldorf/j2018/4a_O_17_17_Urteil_20181109.html" TargetMode="External"/><Relationship Id="rId39" Type="http://schemas.openxmlformats.org/officeDocument/2006/relationships/hyperlink" Target="http://lrbw.juris.de/cgi-bin/laender_rechtsprechung/document.py?Gericht=bw&amp;GerichtAuswahl=Landgerichte&amp;Art=en&amp;sid=6e6a9d26ac6aee935c628e75dd026e34&amp;nr=21539&amp;anz=1&amp;pos=0&amp;Blank=1" TargetMode="External"/><Relationship Id="rId34" Type="http://schemas.openxmlformats.org/officeDocument/2006/relationships/hyperlink" Target="https://www.katheraugenstein.com/app/uploads/EN-Regional-Court-Mannheim-7-O-115-16.pdf" TargetMode="External"/><Relationship Id="rId50" Type="http://schemas.openxmlformats.org/officeDocument/2006/relationships/hyperlink" Target="https://www.gesetze-bayern.de/Content/Document/Y-300-Z-GRURRS-B-2021-N-23157" TargetMode="External"/><Relationship Id="rId55" Type="http://schemas.openxmlformats.org/officeDocument/2006/relationships/hyperlink" Target="https://www.katheraugenstein.com/app/uploads/2015-11-27-2-O-106_-14-DE-pdf.pdf" TargetMode="External"/><Relationship Id="rId76" Type="http://schemas.openxmlformats.org/officeDocument/2006/relationships/hyperlink" Target="http://juris.bundespatentgericht.de/cgi-bin/rechtsprechung/document.py?Gericht=bpatg&amp;Art=en&amp;sid=b33d1bbc43fde716904fd6352120093b&amp;nr=34377&amp;pos=0&amp;anz=1&amp;Blank=1.pdf" TargetMode="External"/><Relationship Id="rId7" Type="http://schemas.openxmlformats.org/officeDocument/2006/relationships/hyperlink" Target="https://www.katheraugenstein.com/app/uploads/2017-07-13-4a-O-16_16-EN-pdf-1.pdf" TargetMode="External"/><Relationship Id="rId71" Type="http://schemas.openxmlformats.org/officeDocument/2006/relationships/hyperlink" Target="http://juris.bundespatentgericht.de/cgi-bin/rechtsprechung/document.py?Gericht=bpatg&amp;Art=en&amp;sid=2a46cbd669d30945f37f9bc0306cdede&amp;nr=43699&amp;pos=0&amp;anz=1&amp;Blank=1.pdf" TargetMode="External"/><Relationship Id="rId92" Type="http://schemas.openxmlformats.org/officeDocument/2006/relationships/printerSettings" Target="../printerSettings/printerSettings1.bin"/><Relationship Id="rId2" Type="http://schemas.openxmlformats.org/officeDocument/2006/relationships/hyperlink" Target="http://www.justiz.nrw.de/nrwe/lgs/duesseldorf/lg_duesseldorf/j2016/4a_O_126_14_Teil_Verzichts_und_Schlussurteil_20160331.html" TargetMode="External"/><Relationship Id="rId29" Type="http://schemas.openxmlformats.org/officeDocument/2006/relationships/hyperlink" Target="https://openjur.de/u/884742.html" TargetMode="External"/><Relationship Id="rId24" Type="http://schemas.openxmlformats.org/officeDocument/2006/relationships/hyperlink" Target="http://www.justiz.nrw.de/nrwe/lgs/duesseldorf/lg_duesseldorf/j2020/4c_O_56_18_Urteil_20200507.html" TargetMode="External"/><Relationship Id="rId40" Type="http://schemas.openxmlformats.org/officeDocument/2006/relationships/hyperlink" Target="http://lrbw.juris.de/cgi-bin/laender_rechtsprechung/document.py?Gericht=bw&amp;nr=21580" TargetMode="External"/><Relationship Id="rId45" Type="http://schemas.openxmlformats.org/officeDocument/2006/relationships/hyperlink" Target="https://www.katheraugenstein.com/app/uploads/2020-08-21-LG-Mannheim-2-O-136_18-EN.pdf" TargetMode="External"/><Relationship Id="rId66" Type="http://schemas.openxmlformats.org/officeDocument/2006/relationships/hyperlink" Target="http://juris.bundespatentgericht.de/cgi-bin/rechtsprechung/document.py?Gericht=bpatg&amp;Art=en&amp;sid=1d78632798b85c831df59d6be5dfa5b4&amp;nr=29853&amp;pos=0&amp;anz=1&amp;Blank=1.pdf" TargetMode="External"/><Relationship Id="rId87" Type="http://schemas.openxmlformats.org/officeDocument/2006/relationships/hyperlink" Target="https://www.justiz.nrw.de/nrwe/lgs/duesseldorf/lg_duesseldorf/j2017/4a_O_27_16_Urteil_20170713.html" TargetMode="External"/><Relationship Id="rId61" Type="http://schemas.openxmlformats.org/officeDocument/2006/relationships/hyperlink" Target="https://www.katheraugenstein.com/app/uploads/2023-04-19-LG-Muenchen-I-21-O-1910_22-Rahmenloeschung.pdf" TargetMode="External"/><Relationship Id="rId82" Type="http://schemas.openxmlformats.org/officeDocument/2006/relationships/hyperlink" Target="http://juris.bundespatentgericht.de/cgi-bin/rechtsprechung/document.py?Gericht=bpatg&amp;Art=en&amp;sid=591686bf13eeae126c67a6bd158e28d8&amp;nr=29077&amp;pos=0&amp;anz=1&amp;Blank=1.pdf" TargetMode="External"/><Relationship Id="rId19" Type="http://schemas.openxmlformats.org/officeDocument/2006/relationships/hyperlink" Target="https://www.katheraugenstein.com/app/uploads/2018-07-11-4c-O-81_17-DE-pdf-2.pdf" TargetMode="External"/><Relationship Id="rId14" Type="http://schemas.openxmlformats.org/officeDocument/2006/relationships/hyperlink" Target="https://www.katheraugenstein.com/app/uploads/2018-11-09-4a-O-15_17-EN-pdf.pdf" TargetMode="External"/><Relationship Id="rId30" Type="http://schemas.openxmlformats.org/officeDocument/2006/relationships/hyperlink" Target="http://lrbw.juris.de/cgi-bin/laender_rechtsprechung/document.py?Gericht=bw&amp;GerichtAuswahl=Landgerichte&amp;Art=en&amp;sid=0790c421fe7d2d5a437b3b2305786018&amp;nr=20517&amp;anz=1&amp;pos=0&amp;Blank=1" TargetMode="External"/><Relationship Id="rId35" Type="http://schemas.openxmlformats.org/officeDocument/2006/relationships/hyperlink" Target="https://www.katheraugenstein.com/app/uploads/2018-07-13-7-O-165_16-DE-pdf-2.pdf" TargetMode="External"/><Relationship Id="rId56" Type="http://schemas.openxmlformats.org/officeDocument/2006/relationships/hyperlink" Target="https://www.katheraugenstein.com/app/uploads/2015-11-27-2-O-106_14-EN-pdf-1.pdf" TargetMode="External"/><Relationship Id="rId77" Type="http://schemas.openxmlformats.org/officeDocument/2006/relationships/hyperlink" Target="http://juris.bundespatentgericht.de/cgi-bin/rechtsprechung/document.py?Gericht=bpatg&amp;Art=en&amp;sid=bbc8084d4a1b275b62cfa1c3e7203c48&amp;nr=39474&amp;pos=0&amp;anz=1&amp;Blank=1.pdf" TargetMode="External"/></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https://www.gesetze-bayern.de/Content/Document/Y-300-Z-GRURRS-B-2020-N-22577?hl=true" TargetMode="External"/><Relationship Id="rId7" Type="http://schemas.openxmlformats.org/officeDocument/2006/relationships/drawing" Target="../drawings/drawing1.xml"/><Relationship Id="rId2" Type="http://schemas.openxmlformats.org/officeDocument/2006/relationships/hyperlink" Target="https://www.katheraugenstein.com/app/uploads/2020-09-10-LG-Muenchen-7-O-8818_19-EN.pdf" TargetMode="External"/><Relationship Id="rId1" Type="http://schemas.openxmlformats.org/officeDocument/2006/relationships/hyperlink" Target="https://www.katheraugenstein.com/app/uploads/2020-09-10-LG-Muenchen-7-O-8818_19-DE.pdf" TargetMode="External"/><Relationship Id="rId6" Type="http://schemas.openxmlformats.org/officeDocument/2006/relationships/hyperlink" Target="http://juris.bundespatentgericht.de/cgi-bin/rechtsprechung/document.py?Gericht=bpatg&amp;Art=en&amp;sid=bbaa34385701eb9b0de4e1625a453b0b&amp;nr=29412&amp;pos=0&amp;anz=1&amp;Blank=1.pdf" TargetMode="External"/><Relationship Id="rId5" Type="http://schemas.openxmlformats.org/officeDocument/2006/relationships/hyperlink" Target="https://www.katheraugenstein.com/app/uploads/2019-04-24-4c-O-24_19-EN.pdf" TargetMode="External"/><Relationship Id="rId10" Type="http://schemas.microsoft.com/office/2017/10/relationships/threadedComment" Target="../threadedComments/threadedComment5.xml"/><Relationship Id="rId4" Type="http://schemas.openxmlformats.org/officeDocument/2006/relationships/hyperlink" Target="https://www.katheraugenstein.com/app/uploads/2019-04-24-4c-O-24_19-DE.pdf" TargetMode="External"/><Relationship Id="rId9"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3.xml"/><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744A4-3E40-4EE6-8E09-BC7DB7907B73}">
  <dimension ref="A1:AF32"/>
  <sheetViews>
    <sheetView topLeftCell="A16" zoomScaleNormal="100" workbookViewId="0">
      <pane xSplit="1" topLeftCell="B1" activePane="topRight" state="frozen"/>
      <selection pane="topRight" activeCell="M32" sqref="M32"/>
    </sheetView>
  </sheetViews>
  <sheetFormatPr defaultRowHeight="15" x14ac:dyDescent="0.25"/>
  <cols>
    <col min="1" max="1" width="13.28515625" bestFit="1" customWidth="1"/>
    <col min="2" max="2" width="11.28515625" bestFit="1" customWidth="1"/>
    <col min="3" max="3" width="9.7109375" bestFit="1" customWidth="1"/>
    <col min="4" max="4" width="38.140625" bestFit="1" customWidth="1"/>
    <col min="5" max="5" width="26" bestFit="1" customWidth="1"/>
    <col min="6" max="6" width="17" bestFit="1" customWidth="1"/>
    <col min="7" max="8" width="8.85546875" customWidth="1"/>
    <col min="12" max="12" width="24.140625" bestFit="1" customWidth="1"/>
    <col min="13" max="13" width="21" bestFit="1" customWidth="1"/>
    <col min="14" max="14" width="11" bestFit="1" customWidth="1"/>
    <col min="15" max="15" width="10.140625" bestFit="1" customWidth="1"/>
    <col min="17" max="17" width="18.42578125" bestFit="1" customWidth="1"/>
    <col min="19" max="19" width="12" bestFit="1" customWidth="1"/>
    <col min="20" max="20" width="16.85546875" bestFit="1" customWidth="1"/>
    <col min="21" max="21" width="41" bestFit="1" customWidth="1"/>
    <col min="22" max="22" width="18.28515625" bestFit="1" customWidth="1"/>
    <col min="23" max="23" width="15.42578125" bestFit="1" customWidth="1"/>
    <col min="24" max="24" width="17.7109375" bestFit="1" customWidth="1"/>
    <col min="25" max="25" width="26.140625" bestFit="1" customWidth="1"/>
    <col min="26" max="26" width="21.7109375" bestFit="1" customWidth="1"/>
    <col min="27" max="27" width="20.7109375" bestFit="1" customWidth="1"/>
    <col min="28" max="28" width="12" bestFit="1" customWidth="1"/>
    <col min="29" max="30" width="12" customWidth="1"/>
    <col min="32" max="32" width="10.85546875" bestFit="1" customWidth="1"/>
  </cols>
  <sheetData>
    <row r="1" spans="1:32" x14ac:dyDescent="0.25">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315</v>
      </c>
      <c r="V1" t="s">
        <v>279</v>
      </c>
      <c r="W1" t="s">
        <v>281</v>
      </c>
      <c r="X1" t="s">
        <v>282</v>
      </c>
      <c r="Y1" t="s">
        <v>283</v>
      </c>
      <c r="Z1" t="s">
        <v>284</v>
      </c>
      <c r="AA1" t="s">
        <v>285</v>
      </c>
      <c r="AB1" t="s">
        <v>286</v>
      </c>
      <c r="AC1" t="s">
        <v>316</v>
      </c>
      <c r="AD1" t="s">
        <v>317</v>
      </c>
      <c r="AE1" t="s">
        <v>287</v>
      </c>
      <c r="AF1" t="s">
        <v>288</v>
      </c>
    </row>
    <row r="2" spans="1:32" x14ac:dyDescent="0.25">
      <c r="A2" t="s">
        <v>68</v>
      </c>
      <c r="B2" t="s">
        <v>2</v>
      </c>
      <c r="C2" t="s">
        <v>31</v>
      </c>
      <c r="D2" t="s">
        <v>31</v>
      </c>
      <c r="E2" t="s">
        <v>31</v>
      </c>
      <c r="F2" t="s">
        <v>25</v>
      </c>
      <c r="G2" t="s">
        <v>36</v>
      </c>
      <c r="H2" t="s">
        <v>36</v>
      </c>
      <c r="I2" t="s">
        <v>31</v>
      </c>
      <c r="J2" t="s">
        <v>31</v>
      </c>
      <c r="K2" s="1" t="s">
        <v>33</v>
      </c>
      <c r="L2" t="s">
        <v>30</v>
      </c>
      <c r="M2" t="s">
        <v>112</v>
      </c>
      <c r="N2" s="6" t="s">
        <v>113</v>
      </c>
      <c r="O2">
        <v>1</v>
      </c>
      <c r="Q2">
        <v>500000</v>
      </c>
      <c r="S2" t="s">
        <v>290</v>
      </c>
      <c r="T2" t="s">
        <v>289</v>
      </c>
      <c r="U2" t="s">
        <v>289</v>
      </c>
      <c r="V2" t="s">
        <v>314</v>
      </c>
      <c r="W2" t="s">
        <v>113</v>
      </c>
      <c r="AA2" t="s">
        <v>31</v>
      </c>
      <c r="AE2" t="s">
        <v>248</v>
      </c>
      <c r="AF2" t="s">
        <v>31</v>
      </c>
    </row>
    <row r="3" spans="1:32" x14ac:dyDescent="0.25">
      <c r="A3" t="s">
        <v>69</v>
      </c>
      <c r="B3" t="s">
        <v>2</v>
      </c>
      <c r="C3" t="s">
        <v>31</v>
      </c>
      <c r="D3" t="s">
        <v>25</v>
      </c>
      <c r="E3" t="s">
        <v>25</v>
      </c>
      <c r="F3" t="s">
        <v>25</v>
      </c>
      <c r="G3" t="s">
        <v>36</v>
      </c>
      <c r="H3" t="s">
        <v>36</v>
      </c>
      <c r="I3" t="s">
        <v>31</v>
      </c>
      <c r="J3" t="s">
        <v>31</v>
      </c>
      <c r="K3" s="1" t="s">
        <v>38</v>
      </c>
      <c r="L3" t="s">
        <v>36</v>
      </c>
      <c r="M3" t="s">
        <v>114</v>
      </c>
      <c r="N3" s="7" t="s">
        <v>115</v>
      </c>
      <c r="O3">
        <v>1</v>
      </c>
      <c r="Q3">
        <v>2000000</v>
      </c>
      <c r="T3" t="s">
        <v>292</v>
      </c>
      <c r="U3" t="s">
        <v>292</v>
      </c>
      <c r="W3" s="7" t="s">
        <v>115</v>
      </c>
      <c r="AA3" t="s">
        <v>31</v>
      </c>
      <c r="AE3" t="s">
        <v>247</v>
      </c>
      <c r="AF3" t="s">
        <v>247</v>
      </c>
    </row>
    <row r="4" spans="1:32" x14ac:dyDescent="0.25">
      <c r="A4" t="s">
        <v>70</v>
      </c>
      <c r="B4" t="s">
        <v>2</v>
      </c>
      <c r="C4" t="s">
        <v>31</v>
      </c>
      <c r="D4" t="s">
        <v>31</v>
      </c>
      <c r="E4" t="s">
        <v>31</v>
      </c>
      <c r="F4" t="s">
        <v>25</v>
      </c>
      <c r="G4" t="s">
        <v>36</v>
      </c>
      <c r="H4" t="s">
        <v>36</v>
      </c>
      <c r="I4" t="s">
        <v>31</v>
      </c>
      <c r="J4" t="s">
        <v>31</v>
      </c>
      <c r="K4" s="1" t="s">
        <v>40</v>
      </c>
      <c r="L4" t="s">
        <v>39</v>
      </c>
      <c r="M4" t="s">
        <v>116</v>
      </c>
      <c r="N4" s="8" t="s">
        <v>117</v>
      </c>
      <c r="O4">
        <v>1</v>
      </c>
      <c r="Q4">
        <v>2000000</v>
      </c>
      <c r="T4" t="s">
        <v>293</v>
      </c>
      <c r="U4" t="s">
        <v>293</v>
      </c>
      <c r="W4" s="8" t="s">
        <v>117</v>
      </c>
      <c r="AB4" t="s">
        <v>249</v>
      </c>
      <c r="AD4" t="s">
        <v>249</v>
      </c>
      <c r="AE4" t="s">
        <v>31</v>
      </c>
      <c r="AF4" t="s">
        <v>249</v>
      </c>
    </row>
    <row r="5" spans="1:32" x14ac:dyDescent="0.25">
      <c r="A5" t="s">
        <v>3</v>
      </c>
      <c r="B5" t="s">
        <v>2</v>
      </c>
      <c r="C5" t="s">
        <v>31</v>
      </c>
      <c r="D5" t="s">
        <v>31</v>
      </c>
      <c r="E5" t="s">
        <v>31</v>
      </c>
      <c r="F5" t="s">
        <v>31</v>
      </c>
      <c r="G5" s="1" t="s">
        <v>41</v>
      </c>
      <c r="H5" s="1" t="s">
        <v>42</v>
      </c>
      <c r="I5" t="s">
        <v>31</v>
      </c>
      <c r="J5" t="s">
        <v>31</v>
      </c>
      <c r="K5" s="1" t="s">
        <v>43</v>
      </c>
      <c r="L5" t="s">
        <v>36</v>
      </c>
      <c r="M5" t="s">
        <v>116</v>
      </c>
      <c r="N5" t="s">
        <v>117</v>
      </c>
      <c r="O5">
        <v>1</v>
      </c>
      <c r="Q5">
        <v>2000000</v>
      </c>
      <c r="T5" t="s">
        <v>116</v>
      </c>
      <c r="U5" t="s">
        <v>116</v>
      </c>
      <c r="W5" t="s">
        <v>117</v>
      </c>
    </row>
    <row r="6" spans="1:32" x14ac:dyDescent="0.25">
      <c r="A6" t="s">
        <v>71</v>
      </c>
      <c r="B6" t="s">
        <v>2</v>
      </c>
      <c r="C6" t="s">
        <v>31</v>
      </c>
      <c r="D6" t="s">
        <v>31</v>
      </c>
      <c r="E6" t="s">
        <v>25</v>
      </c>
      <c r="F6" t="s">
        <v>31</v>
      </c>
      <c r="G6" s="2" t="s">
        <v>45</v>
      </c>
      <c r="H6" s="1" t="s">
        <v>46</v>
      </c>
      <c r="I6" t="s">
        <v>31</v>
      </c>
      <c r="J6" t="s">
        <v>31</v>
      </c>
      <c r="K6" s="1" t="s">
        <v>47</v>
      </c>
      <c r="L6" t="s">
        <v>36</v>
      </c>
      <c r="M6" t="s">
        <v>118</v>
      </c>
      <c r="N6" s="6" t="s">
        <v>119</v>
      </c>
      <c r="Q6">
        <v>1000000</v>
      </c>
      <c r="T6" t="s">
        <v>294</v>
      </c>
      <c r="U6" t="s">
        <v>294</v>
      </c>
      <c r="W6" s="6" t="s">
        <v>119</v>
      </c>
      <c r="X6" t="s">
        <v>31</v>
      </c>
      <c r="Y6" t="s">
        <v>248</v>
      </c>
      <c r="Z6" t="s">
        <v>31</v>
      </c>
      <c r="AA6" t="s">
        <v>31</v>
      </c>
      <c r="AE6" t="s">
        <v>247</v>
      </c>
      <c r="AF6" t="s">
        <v>31</v>
      </c>
    </row>
    <row r="7" spans="1:32" x14ac:dyDescent="0.25">
      <c r="A7" t="s">
        <v>72</v>
      </c>
      <c r="B7" t="s">
        <v>2</v>
      </c>
      <c r="C7" t="s">
        <v>31</v>
      </c>
      <c r="D7" t="s">
        <v>31</v>
      </c>
      <c r="E7" t="s">
        <v>25</v>
      </c>
      <c r="F7" t="s">
        <v>25</v>
      </c>
      <c r="G7" t="s">
        <v>36</v>
      </c>
      <c r="H7" t="s">
        <v>36</v>
      </c>
      <c r="I7" t="s">
        <v>31</v>
      </c>
      <c r="J7" t="s">
        <v>31</v>
      </c>
      <c r="K7" s="1" t="s">
        <v>48</v>
      </c>
      <c r="L7" t="s">
        <v>36</v>
      </c>
      <c r="M7" t="s">
        <v>118</v>
      </c>
      <c r="N7" s="6" t="s">
        <v>119</v>
      </c>
      <c r="Q7">
        <v>1000000</v>
      </c>
      <c r="T7" t="s">
        <v>295</v>
      </c>
      <c r="U7" t="s">
        <v>295</v>
      </c>
      <c r="W7" s="6" t="s">
        <v>119</v>
      </c>
      <c r="X7" t="s">
        <v>31</v>
      </c>
      <c r="Z7" t="s">
        <v>31</v>
      </c>
      <c r="AA7" t="s">
        <v>31</v>
      </c>
    </row>
    <row r="8" spans="1:32" x14ac:dyDescent="0.25">
      <c r="A8" t="s">
        <v>73</v>
      </c>
      <c r="B8" t="s">
        <v>2</v>
      </c>
      <c r="C8" t="s">
        <v>31</v>
      </c>
      <c r="D8" t="s">
        <v>31</v>
      </c>
      <c r="E8" t="s">
        <v>25</v>
      </c>
      <c r="F8" t="s">
        <v>25</v>
      </c>
      <c r="G8" t="s">
        <v>36</v>
      </c>
      <c r="H8" t="s">
        <v>36</v>
      </c>
      <c r="I8" t="s">
        <v>31</v>
      </c>
      <c r="J8" t="s">
        <v>31</v>
      </c>
      <c r="K8" s="1" t="s">
        <v>49</v>
      </c>
      <c r="L8" t="s">
        <v>36</v>
      </c>
      <c r="M8" s="3" t="s">
        <v>120</v>
      </c>
      <c r="N8" s="6" t="s">
        <v>121</v>
      </c>
      <c r="Q8">
        <v>4000000</v>
      </c>
      <c r="T8" t="s">
        <v>296</v>
      </c>
      <c r="U8" t="s">
        <v>296</v>
      </c>
      <c r="W8" s="6" t="s">
        <v>121</v>
      </c>
      <c r="X8" t="s">
        <v>31</v>
      </c>
      <c r="Z8" t="s">
        <v>31</v>
      </c>
      <c r="AA8" t="s">
        <v>31</v>
      </c>
    </row>
    <row r="9" spans="1:32" x14ac:dyDescent="0.25">
      <c r="A9" t="s">
        <v>74</v>
      </c>
      <c r="B9" t="s">
        <v>2</v>
      </c>
      <c r="C9" t="s">
        <v>31</v>
      </c>
      <c r="D9" t="s">
        <v>31</v>
      </c>
      <c r="E9" t="s">
        <v>25</v>
      </c>
      <c r="F9" t="s">
        <v>25</v>
      </c>
      <c r="G9" t="s">
        <v>36</v>
      </c>
      <c r="H9" t="s">
        <v>36</v>
      </c>
      <c r="I9" t="s">
        <v>31</v>
      </c>
      <c r="J9" t="s">
        <v>31</v>
      </c>
      <c r="K9" s="1" t="s">
        <v>50</v>
      </c>
      <c r="L9" t="s">
        <v>36</v>
      </c>
      <c r="M9" t="s">
        <v>122</v>
      </c>
      <c r="N9" s="6" t="s">
        <v>121</v>
      </c>
      <c r="Q9">
        <v>4000000</v>
      </c>
      <c r="T9" t="s">
        <v>297</v>
      </c>
      <c r="U9" t="s">
        <v>297</v>
      </c>
      <c r="W9" s="6" t="s">
        <v>121</v>
      </c>
      <c r="X9" t="s">
        <v>31</v>
      </c>
      <c r="Z9" t="s">
        <v>31</v>
      </c>
      <c r="AA9" t="s">
        <v>31</v>
      </c>
    </row>
    <row r="10" spans="1:32" x14ac:dyDescent="0.25">
      <c r="A10" t="s">
        <v>75</v>
      </c>
      <c r="B10" t="s">
        <v>2</v>
      </c>
      <c r="C10" t="s">
        <v>31</v>
      </c>
      <c r="D10" t="s">
        <v>31</v>
      </c>
      <c r="E10" t="s">
        <v>31</v>
      </c>
      <c r="F10" t="s">
        <v>31</v>
      </c>
      <c r="G10" s="2" t="s">
        <v>53</v>
      </c>
      <c r="H10" s="5" t="s">
        <v>54</v>
      </c>
      <c r="I10" t="s">
        <v>31</v>
      </c>
      <c r="J10" t="s">
        <v>31</v>
      </c>
      <c r="K10" s="1" t="s">
        <v>51</v>
      </c>
      <c r="L10" t="s">
        <v>36</v>
      </c>
      <c r="M10" t="s">
        <v>123</v>
      </c>
      <c r="N10" s="6" t="s">
        <v>124</v>
      </c>
      <c r="Q10">
        <v>2500000</v>
      </c>
      <c r="T10" t="s">
        <v>299</v>
      </c>
      <c r="U10" t="s">
        <v>299</v>
      </c>
      <c r="W10" s="6" t="s">
        <v>124</v>
      </c>
      <c r="X10" t="s">
        <v>31</v>
      </c>
      <c r="Z10" t="s">
        <v>31</v>
      </c>
      <c r="AA10" t="s">
        <v>31</v>
      </c>
    </row>
    <row r="11" spans="1:32" x14ac:dyDescent="0.25">
      <c r="A11" t="s">
        <v>4</v>
      </c>
      <c r="B11" t="s">
        <v>2</v>
      </c>
      <c r="C11" t="s">
        <v>31</v>
      </c>
      <c r="D11" t="s">
        <v>31</v>
      </c>
      <c r="E11" t="s">
        <v>31</v>
      </c>
      <c r="F11" t="s">
        <v>25</v>
      </c>
      <c r="G11" t="s">
        <v>36</v>
      </c>
      <c r="H11" t="s">
        <v>36</v>
      </c>
      <c r="I11" t="s">
        <v>31</v>
      </c>
      <c r="J11" t="s">
        <v>31</v>
      </c>
      <c r="K11" s="2" t="s">
        <v>55</v>
      </c>
      <c r="L11" t="s">
        <v>36</v>
      </c>
      <c r="M11" t="s">
        <v>125</v>
      </c>
      <c r="N11" s="6" t="s">
        <v>126</v>
      </c>
      <c r="Q11" t="s">
        <v>245</v>
      </c>
      <c r="T11" t="s">
        <v>300</v>
      </c>
      <c r="U11" t="s">
        <v>300</v>
      </c>
      <c r="W11" s="6" t="s">
        <v>126</v>
      </c>
    </row>
    <row r="12" spans="1:32" x14ac:dyDescent="0.25">
      <c r="A12" t="s">
        <v>76</v>
      </c>
      <c r="B12" t="s">
        <v>2</v>
      </c>
      <c r="C12" t="s">
        <v>31</v>
      </c>
      <c r="D12" t="s">
        <v>31</v>
      </c>
      <c r="E12" t="s">
        <v>31</v>
      </c>
      <c r="F12" t="s">
        <v>31</v>
      </c>
      <c r="G12" s="2" t="s">
        <v>56</v>
      </c>
      <c r="H12" s="2" t="s">
        <v>57</v>
      </c>
      <c r="I12" t="s">
        <v>31</v>
      </c>
      <c r="J12" t="s">
        <v>31</v>
      </c>
      <c r="K12" s="1" t="s">
        <v>52</v>
      </c>
      <c r="L12" t="s">
        <v>36</v>
      </c>
      <c r="M12" t="s">
        <v>127</v>
      </c>
      <c r="N12" s="6" t="s">
        <v>124</v>
      </c>
      <c r="Q12">
        <v>5000000</v>
      </c>
      <c r="T12" t="s">
        <v>301</v>
      </c>
      <c r="U12" t="s">
        <v>301</v>
      </c>
      <c r="W12" s="6" t="s">
        <v>124</v>
      </c>
    </row>
    <row r="13" spans="1:32" x14ac:dyDescent="0.25">
      <c r="A13" t="s">
        <v>77</v>
      </c>
      <c r="B13" t="s">
        <v>2</v>
      </c>
      <c r="C13" t="s">
        <v>31</v>
      </c>
      <c r="D13" t="s">
        <v>31</v>
      </c>
      <c r="E13" t="s">
        <v>25</v>
      </c>
      <c r="F13" t="s">
        <v>31</v>
      </c>
      <c r="G13" s="1" t="s">
        <v>58</v>
      </c>
      <c r="H13" s="1" t="s">
        <v>59</v>
      </c>
      <c r="I13" t="s">
        <v>31</v>
      </c>
      <c r="J13" t="s">
        <v>31</v>
      </c>
      <c r="K13" s="1" t="s">
        <v>60</v>
      </c>
      <c r="L13" t="s">
        <v>36</v>
      </c>
      <c r="M13" t="s">
        <v>128</v>
      </c>
      <c r="N13" t="s">
        <v>121</v>
      </c>
      <c r="Q13">
        <v>4000000</v>
      </c>
      <c r="T13" t="s">
        <v>298</v>
      </c>
      <c r="U13" t="s">
        <v>298</v>
      </c>
      <c r="W13" t="s">
        <v>121</v>
      </c>
    </row>
    <row r="14" spans="1:32" x14ac:dyDescent="0.25">
      <c r="A14" t="s">
        <v>78</v>
      </c>
      <c r="B14" t="s">
        <v>2</v>
      </c>
      <c r="C14" t="s">
        <v>31</v>
      </c>
      <c r="D14" t="s">
        <v>248</v>
      </c>
      <c r="E14" t="s">
        <v>248</v>
      </c>
      <c r="F14" t="s">
        <v>25</v>
      </c>
      <c r="G14" t="s">
        <v>36</v>
      </c>
      <c r="H14" t="s">
        <v>36</v>
      </c>
      <c r="I14" t="s">
        <v>31</v>
      </c>
      <c r="J14" t="s">
        <v>31</v>
      </c>
      <c r="K14" s="1" t="s">
        <v>61</v>
      </c>
      <c r="L14" t="s">
        <v>36</v>
      </c>
      <c r="M14" t="s">
        <v>125</v>
      </c>
      <c r="N14" t="s">
        <v>129</v>
      </c>
      <c r="Q14" t="s">
        <v>246</v>
      </c>
      <c r="T14" t="s">
        <v>301</v>
      </c>
      <c r="U14" t="s">
        <v>301</v>
      </c>
      <c r="W14" t="s">
        <v>129</v>
      </c>
    </row>
    <row r="15" spans="1:32" x14ac:dyDescent="0.25">
      <c r="A15" t="s">
        <v>5</v>
      </c>
      <c r="B15" t="s">
        <v>2</v>
      </c>
      <c r="C15" t="s">
        <v>31</v>
      </c>
      <c r="D15" t="s">
        <v>31</v>
      </c>
      <c r="E15" t="s">
        <v>31</v>
      </c>
      <c r="F15" t="s">
        <v>25</v>
      </c>
      <c r="G15" t="s">
        <v>36</v>
      </c>
      <c r="H15" t="s">
        <v>36</v>
      </c>
      <c r="I15" t="s">
        <v>31</v>
      </c>
      <c r="J15" t="s">
        <v>31</v>
      </c>
      <c r="K15" s="1" t="s">
        <v>62</v>
      </c>
      <c r="L15" t="s">
        <v>36</v>
      </c>
      <c r="M15" t="s">
        <v>130</v>
      </c>
      <c r="N15" t="s">
        <v>131</v>
      </c>
      <c r="Q15">
        <v>1000000</v>
      </c>
      <c r="W15" t="s">
        <v>131</v>
      </c>
    </row>
    <row r="16" spans="1:32" x14ac:dyDescent="0.25">
      <c r="A16" t="s">
        <v>6</v>
      </c>
      <c r="B16" t="s">
        <v>2</v>
      </c>
      <c r="C16" t="s">
        <v>31</v>
      </c>
      <c r="D16" t="s">
        <v>31</v>
      </c>
      <c r="E16" t="s">
        <v>31</v>
      </c>
      <c r="F16" t="s">
        <v>25</v>
      </c>
      <c r="G16" t="s">
        <v>36</v>
      </c>
      <c r="H16" t="s">
        <v>36</v>
      </c>
      <c r="I16" t="s">
        <v>31</v>
      </c>
      <c r="J16" t="s">
        <v>31</v>
      </c>
      <c r="K16" s="1" t="s">
        <v>63</v>
      </c>
      <c r="L16" t="s">
        <v>36</v>
      </c>
      <c r="M16" t="s">
        <v>130</v>
      </c>
      <c r="N16" t="s">
        <v>131</v>
      </c>
      <c r="Q16">
        <v>1000000</v>
      </c>
      <c r="T16" t="s">
        <v>302</v>
      </c>
      <c r="U16" t="s">
        <v>327</v>
      </c>
      <c r="W16" t="s">
        <v>131</v>
      </c>
    </row>
    <row r="17" spans="1:23" x14ac:dyDescent="0.25">
      <c r="A17" t="s">
        <v>7</v>
      </c>
      <c r="B17" t="s">
        <v>2</v>
      </c>
      <c r="C17" t="s">
        <v>31</v>
      </c>
      <c r="D17" t="s">
        <v>31</v>
      </c>
      <c r="E17" t="s">
        <v>31</v>
      </c>
      <c r="F17" t="s">
        <v>25</v>
      </c>
      <c r="G17" t="s">
        <v>36</v>
      </c>
      <c r="H17" t="s">
        <v>36</v>
      </c>
      <c r="I17" t="s">
        <v>31</v>
      </c>
      <c r="J17" t="s">
        <v>31</v>
      </c>
      <c r="K17" s="1" t="s">
        <v>64</v>
      </c>
      <c r="L17" t="s">
        <v>36</v>
      </c>
      <c r="M17" t="s">
        <v>132</v>
      </c>
      <c r="N17" t="s">
        <v>131</v>
      </c>
      <c r="Q17">
        <v>1000000</v>
      </c>
      <c r="T17" t="s">
        <v>303</v>
      </c>
      <c r="U17" t="s">
        <v>303</v>
      </c>
      <c r="W17" t="s">
        <v>131</v>
      </c>
    </row>
    <row r="18" spans="1:23" x14ac:dyDescent="0.25">
      <c r="A18" t="s">
        <v>8</v>
      </c>
      <c r="B18" t="s">
        <v>2</v>
      </c>
      <c r="C18" t="s">
        <v>31</v>
      </c>
      <c r="D18" t="s">
        <v>31</v>
      </c>
      <c r="E18" t="s">
        <v>249</v>
      </c>
      <c r="F18" t="s">
        <v>31</v>
      </c>
      <c r="G18" s="1" t="s">
        <v>65</v>
      </c>
      <c r="H18" s="1" t="s">
        <v>66</v>
      </c>
      <c r="I18" t="s">
        <v>31</v>
      </c>
      <c r="J18" t="s">
        <v>31</v>
      </c>
      <c r="K18" s="1" t="s">
        <v>67</v>
      </c>
      <c r="L18" t="s">
        <v>36</v>
      </c>
      <c r="M18" t="s">
        <v>133</v>
      </c>
      <c r="N18" t="s">
        <v>134</v>
      </c>
      <c r="Q18" t="s">
        <v>247</v>
      </c>
      <c r="T18" t="s">
        <v>304</v>
      </c>
      <c r="U18" t="s">
        <v>304</v>
      </c>
      <c r="W18" t="s">
        <v>134</v>
      </c>
    </row>
    <row r="19" spans="1:23" x14ac:dyDescent="0.25">
      <c r="A19" t="s">
        <v>9</v>
      </c>
      <c r="B19" t="s">
        <v>10</v>
      </c>
      <c r="C19" t="s">
        <v>31</v>
      </c>
      <c r="D19" t="s">
        <v>31</v>
      </c>
      <c r="E19" t="s">
        <v>31</v>
      </c>
      <c r="F19" t="s">
        <v>31</v>
      </c>
      <c r="G19" s="1" t="s">
        <v>81</v>
      </c>
      <c r="H19" t="s">
        <v>36</v>
      </c>
      <c r="I19" t="s">
        <v>31</v>
      </c>
      <c r="J19" t="s">
        <v>31</v>
      </c>
      <c r="K19" s="1" t="s">
        <v>82</v>
      </c>
      <c r="L19" t="s">
        <v>80</v>
      </c>
      <c r="M19" t="s">
        <v>135</v>
      </c>
      <c r="N19" t="s">
        <v>136</v>
      </c>
      <c r="O19">
        <v>1</v>
      </c>
      <c r="Q19" t="s">
        <v>36</v>
      </c>
      <c r="T19" t="s">
        <v>291</v>
      </c>
      <c r="U19" t="s">
        <v>291</v>
      </c>
      <c r="W19" t="s">
        <v>136</v>
      </c>
    </row>
    <row r="20" spans="1:23" x14ac:dyDescent="0.25">
      <c r="A20" t="s">
        <v>11</v>
      </c>
      <c r="B20" t="s">
        <v>10</v>
      </c>
      <c r="C20" t="s">
        <v>31</v>
      </c>
      <c r="D20" t="s">
        <v>31</v>
      </c>
      <c r="E20" t="s">
        <v>31</v>
      </c>
      <c r="F20" t="s">
        <v>31</v>
      </c>
      <c r="G20" s="1" t="s">
        <v>83</v>
      </c>
      <c r="H20" t="s">
        <v>36</v>
      </c>
      <c r="I20" t="s">
        <v>31</v>
      </c>
      <c r="J20" t="s">
        <v>31</v>
      </c>
      <c r="K20" s="1" t="s">
        <v>84</v>
      </c>
      <c r="L20" t="s">
        <v>36</v>
      </c>
      <c r="M20" t="s">
        <v>137</v>
      </c>
      <c r="N20" t="s">
        <v>138</v>
      </c>
      <c r="O20" t="s">
        <v>247</v>
      </c>
      <c r="Q20" t="s">
        <v>36</v>
      </c>
      <c r="T20" t="s">
        <v>305</v>
      </c>
      <c r="U20" t="s">
        <v>305</v>
      </c>
      <c r="W20" t="s">
        <v>138</v>
      </c>
    </row>
    <row r="21" spans="1:23" x14ac:dyDescent="0.25">
      <c r="A21" t="s">
        <v>12</v>
      </c>
      <c r="B21" t="s">
        <v>10</v>
      </c>
      <c r="C21" t="s">
        <v>236</v>
      </c>
      <c r="D21" t="s">
        <v>31</v>
      </c>
      <c r="E21" t="s">
        <v>31</v>
      </c>
      <c r="F21" t="s">
        <v>31</v>
      </c>
      <c r="G21" s="1" t="s">
        <v>85</v>
      </c>
      <c r="H21" s="1" t="s">
        <v>86</v>
      </c>
      <c r="I21" t="s">
        <v>31</v>
      </c>
      <c r="J21" t="s">
        <v>25</v>
      </c>
      <c r="K21" t="s">
        <v>36</v>
      </c>
      <c r="L21" t="s">
        <v>36</v>
      </c>
      <c r="M21" t="s">
        <v>139</v>
      </c>
      <c r="N21" t="s">
        <v>140</v>
      </c>
      <c r="Q21" t="s">
        <v>36</v>
      </c>
      <c r="T21" t="s">
        <v>306</v>
      </c>
      <c r="U21" t="s">
        <v>306</v>
      </c>
      <c r="W21" t="s">
        <v>140</v>
      </c>
    </row>
    <row r="22" spans="1:23" x14ac:dyDescent="0.25">
      <c r="A22" t="s">
        <v>13</v>
      </c>
      <c r="B22" t="s">
        <v>10</v>
      </c>
      <c r="C22" t="s">
        <v>236</v>
      </c>
      <c r="D22" t="s">
        <v>31</v>
      </c>
      <c r="E22" t="s">
        <v>25</v>
      </c>
      <c r="F22" t="s">
        <v>31</v>
      </c>
      <c r="G22" s="1" t="s">
        <v>87</v>
      </c>
      <c r="H22" s="1" t="s">
        <v>88</v>
      </c>
      <c r="I22" t="s">
        <v>31</v>
      </c>
      <c r="J22" t="s">
        <v>25</v>
      </c>
      <c r="K22" t="s">
        <v>36</v>
      </c>
      <c r="L22" t="s">
        <v>36</v>
      </c>
      <c r="M22" t="s">
        <v>141</v>
      </c>
      <c r="N22" t="s">
        <v>142</v>
      </c>
      <c r="Q22" t="s">
        <v>36</v>
      </c>
      <c r="T22" t="s">
        <v>307</v>
      </c>
      <c r="U22" t="s">
        <v>307</v>
      </c>
      <c r="W22" t="s">
        <v>142</v>
      </c>
    </row>
    <row r="23" spans="1:23" x14ac:dyDescent="0.25">
      <c r="A23" t="s">
        <v>14</v>
      </c>
      <c r="B23" t="s">
        <v>10</v>
      </c>
      <c r="C23" t="s">
        <v>31</v>
      </c>
      <c r="D23" t="s">
        <v>31</v>
      </c>
      <c r="E23" t="s">
        <v>25</v>
      </c>
      <c r="F23" t="s">
        <v>31</v>
      </c>
      <c r="G23" s="1" t="s">
        <v>89</v>
      </c>
      <c r="H23" s="1" t="s">
        <v>90</v>
      </c>
      <c r="I23" t="s">
        <v>31</v>
      </c>
      <c r="J23" t="s">
        <v>31</v>
      </c>
      <c r="K23" s="1" t="s">
        <v>91</v>
      </c>
      <c r="L23" t="s">
        <v>36</v>
      </c>
      <c r="M23" t="s">
        <v>143</v>
      </c>
      <c r="N23" t="s">
        <v>144</v>
      </c>
      <c r="Q23" t="s">
        <v>36</v>
      </c>
      <c r="T23" t="s">
        <v>115</v>
      </c>
      <c r="U23" t="s">
        <v>115</v>
      </c>
      <c r="W23" t="s">
        <v>144</v>
      </c>
    </row>
    <row r="24" spans="1:23" x14ac:dyDescent="0.25">
      <c r="A24" t="s">
        <v>15</v>
      </c>
      <c r="B24" t="s">
        <v>10</v>
      </c>
      <c r="C24" t="s">
        <v>31</v>
      </c>
      <c r="D24" t="s">
        <v>31</v>
      </c>
      <c r="E24" t="s">
        <v>25</v>
      </c>
      <c r="F24" t="s">
        <v>31</v>
      </c>
      <c r="G24" s="1" t="s">
        <v>92</v>
      </c>
      <c r="H24" t="s">
        <v>36</v>
      </c>
      <c r="I24" t="s">
        <v>31</v>
      </c>
      <c r="J24" t="s">
        <v>94</v>
      </c>
      <c r="K24" s="1" t="s">
        <v>93</v>
      </c>
      <c r="L24" t="s">
        <v>36</v>
      </c>
      <c r="M24" t="s">
        <v>143</v>
      </c>
      <c r="N24" t="s">
        <v>144</v>
      </c>
      <c r="Q24" t="s">
        <v>36</v>
      </c>
      <c r="T24" t="s">
        <v>308</v>
      </c>
      <c r="U24" t="s">
        <v>308</v>
      </c>
      <c r="W24" t="s">
        <v>144</v>
      </c>
    </row>
    <row r="25" spans="1:23" x14ac:dyDescent="0.25">
      <c r="A25" t="s">
        <v>16</v>
      </c>
      <c r="B25" t="s">
        <v>10</v>
      </c>
      <c r="C25" t="s">
        <v>236</v>
      </c>
      <c r="D25" t="s">
        <v>31</v>
      </c>
      <c r="E25" t="s">
        <v>25</v>
      </c>
      <c r="F25" t="s">
        <v>31</v>
      </c>
      <c r="G25" s="1" t="s">
        <v>95</v>
      </c>
      <c r="H25" s="1" t="s">
        <v>96</v>
      </c>
      <c r="I25" t="s">
        <v>31</v>
      </c>
      <c r="J25" t="s">
        <v>25</v>
      </c>
      <c r="K25" t="s">
        <v>36</v>
      </c>
      <c r="L25" t="s">
        <v>36</v>
      </c>
      <c r="M25" t="s">
        <v>145</v>
      </c>
      <c r="N25" t="s">
        <v>146</v>
      </c>
      <c r="Q25" t="s">
        <v>36</v>
      </c>
      <c r="T25" t="s">
        <v>309</v>
      </c>
      <c r="U25" t="s">
        <v>309</v>
      </c>
      <c r="W25" t="s">
        <v>146</v>
      </c>
    </row>
    <row r="26" spans="1:23" x14ac:dyDescent="0.25">
      <c r="A26" t="s">
        <v>17</v>
      </c>
      <c r="B26" t="s">
        <v>10</v>
      </c>
      <c r="C26" t="s">
        <v>250</v>
      </c>
      <c r="D26" t="s">
        <v>31</v>
      </c>
      <c r="E26" t="s">
        <v>25</v>
      </c>
      <c r="F26" t="s">
        <v>31</v>
      </c>
      <c r="G26" s="1" t="s">
        <v>97</v>
      </c>
      <c r="H26" s="1" t="s">
        <v>98</v>
      </c>
      <c r="I26" t="s">
        <v>31</v>
      </c>
      <c r="J26" t="s">
        <v>25</v>
      </c>
      <c r="K26" t="s">
        <v>36</v>
      </c>
      <c r="L26" t="s">
        <v>36</v>
      </c>
      <c r="M26" t="s">
        <v>147</v>
      </c>
      <c r="N26" t="s">
        <v>148</v>
      </c>
      <c r="Q26" t="s">
        <v>36</v>
      </c>
      <c r="T26" t="s">
        <v>310</v>
      </c>
      <c r="U26" t="s">
        <v>310</v>
      </c>
      <c r="W26" t="s">
        <v>148</v>
      </c>
    </row>
    <row r="27" spans="1:23" x14ac:dyDescent="0.25">
      <c r="A27" t="s">
        <v>18</v>
      </c>
      <c r="B27" t="s">
        <v>10</v>
      </c>
      <c r="C27" t="s">
        <v>44</v>
      </c>
      <c r="D27" t="s">
        <v>248</v>
      </c>
      <c r="E27" t="s">
        <v>249</v>
      </c>
      <c r="F27" t="s">
        <v>31</v>
      </c>
      <c r="G27" s="1" t="s">
        <v>99</v>
      </c>
      <c r="H27" s="1" t="s">
        <v>100</v>
      </c>
      <c r="I27" t="s">
        <v>31</v>
      </c>
      <c r="J27" t="s">
        <v>25</v>
      </c>
      <c r="K27" t="s">
        <v>36</v>
      </c>
      <c r="L27" t="s">
        <v>36</v>
      </c>
      <c r="M27" t="s">
        <v>149</v>
      </c>
      <c r="N27" t="s">
        <v>150</v>
      </c>
      <c r="Q27" t="s">
        <v>36</v>
      </c>
      <c r="W27" t="s">
        <v>150</v>
      </c>
    </row>
    <row r="28" spans="1:23" x14ac:dyDescent="0.25">
      <c r="A28" t="s">
        <v>19</v>
      </c>
      <c r="B28" t="s">
        <v>10</v>
      </c>
      <c r="C28" t="s">
        <v>236</v>
      </c>
      <c r="D28" t="s">
        <v>31</v>
      </c>
      <c r="E28" t="s">
        <v>31</v>
      </c>
      <c r="F28" t="s">
        <v>31</v>
      </c>
      <c r="G28" s="1" t="s">
        <v>101</v>
      </c>
      <c r="H28" s="1" t="s">
        <v>102</v>
      </c>
      <c r="I28" t="s">
        <v>31</v>
      </c>
      <c r="J28" t="s">
        <v>25</v>
      </c>
      <c r="K28" t="s">
        <v>36</v>
      </c>
      <c r="L28" t="s">
        <v>36</v>
      </c>
      <c r="M28" t="s">
        <v>151</v>
      </c>
      <c r="N28" t="s">
        <v>152</v>
      </c>
      <c r="Q28" t="s">
        <v>36</v>
      </c>
      <c r="T28" t="s">
        <v>304</v>
      </c>
      <c r="U28" t="s">
        <v>304</v>
      </c>
      <c r="W28" t="s">
        <v>152</v>
      </c>
    </row>
    <row r="29" spans="1:23" x14ac:dyDescent="0.25">
      <c r="A29" t="s">
        <v>20</v>
      </c>
      <c r="B29" t="s">
        <v>21</v>
      </c>
      <c r="C29" t="s">
        <v>31</v>
      </c>
      <c r="D29" t="s">
        <v>248</v>
      </c>
      <c r="E29" t="s">
        <v>37</v>
      </c>
      <c r="F29" t="s">
        <v>31</v>
      </c>
      <c r="G29" s="1" t="s">
        <v>103</v>
      </c>
      <c r="H29" s="1" t="s">
        <v>104</v>
      </c>
      <c r="I29" t="s">
        <v>31</v>
      </c>
      <c r="J29" t="s">
        <v>31</v>
      </c>
      <c r="K29" s="1" t="s">
        <v>207</v>
      </c>
      <c r="L29" t="s">
        <v>36</v>
      </c>
      <c r="N29" t="s">
        <v>153</v>
      </c>
      <c r="P29">
        <v>1</v>
      </c>
      <c r="Q29" t="s">
        <v>36</v>
      </c>
      <c r="W29" t="s">
        <v>153</v>
      </c>
    </row>
    <row r="30" spans="1:23" x14ac:dyDescent="0.25">
      <c r="A30" t="s">
        <v>22</v>
      </c>
      <c r="B30" t="s">
        <v>21</v>
      </c>
      <c r="C30" t="s">
        <v>31</v>
      </c>
      <c r="D30" t="s">
        <v>248</v>
      </c>
      <c r="E30" t="s">
        <v>37</v>
      </c>
      <c r="F30" t="s">
        <v>31</v>
      </c>
      <c r="G30" s="1" t="s">
        <v>105</v>
      </c>
      <c r="H30" s="1" t="s">
        <v>106</v>
      </c>
      <c r="I30" t="s">
        <v>31</v>
      </c>
      <c r="J30" t="s">
        <v>31</v>
      </c>
      <c r="K30" s="1" t="s">
        <v>206</v>
      </c>
      <c r="L30" t="s">
        <v>36</v>
      </c>
      <c r="N30" t="s">
        <v>154</v>
      </c>
      <c r="P30">
        <v>1</v>
      </c>
      <c r="Q30" t="s">
        <v>36</v>
      </c>
      <c r="T30" t="s">
        <v>311</v>
      </c>
      <c r="U30" t="s">
        <v>311</v>
      </c>
    </row>
    <row r="31" spans="1:23" x14ac:dyDescent="0.25">
      <c r="A31" t="s">
        <v>23</v>
      </c>
      <c r="B31" t="s">
        <v>21</v>
      </c>
      <c r="C31" t="s">
        <v>31</v>
      </c>
      <c r="D31" t="s">
        <v>31</v>
      </c>
      <c r="E31" t="s">
        <v>31</v>
      </c>
      <c r="F31" t="s">
        <v>31</v>
      </c>
      <c r="G31" s="1" t="s">
        <v>107</v>
      </c>
      <c r="H31" s="1" t="s">
        <v>108</v>
      </c>
      <c r="I31" t="s">
        <v>31</v>
      </c>
      <c r="J31" t="s">
        <v>31</v>
      </c>
      <c r="K31" s="1" t="s">
        <v>205</v>
      </c>
      <c r="L31" t="s">
        <v>36</v>
      </c>
      <c r="M31" t="s">
        <v>149</v>
      </c>
      <c r="N31" t="s">
        <v>155</v>
      </c>
      <c r="Q31" t="s">
        <v>36</v>
      </c>
      <c r="T31" t="s">
        <v>257</v>
      </c>
      <c r="U31" t="s">
        <v>257</v>
      </c>
      <c r="W31" t="s">
        <v>155</v>
      </c>
    </row>
    <row r="32" spans="1:23" x14ac:dyDescent="0.25">
      <c r="A32" t="s">
        <v>24</v>
      </c>
      <c r="B32" t="s">
        <v>21</v>
      </c>
      <c r="C32" t="s">
        <v>31</v>
      </c>
      <c r="D32" t="s">
        <v>31</v>
      </c>
      <c r="E32" t="s">
        <v>31</v>
      </c>
      <c r="F32" t="s">
        <v>25</v>
      </c>
      <c r="G32" t="s">
        <v>36</v>
      </c>
      <c r="H32" t="s">
        <v>36</v>
      </c>
      <c r="J32" t="s">
        <v>31</v>
      </c>
      <c r="K32" s="1" t="s">
        <v>109</v>
      </c>
      <c r="L32" t="s">
        <v>36</v>
      </c>
      <c r="M32" t="s">
        <v>156</v>
      </c>
      <c r="N32" t="s">
        <v>157</v>
      </c>
      <c r="Q32" t="s">
        <v>36</v>
      </c>
      <c r="T32" t="s">
        <v>312</v>
      </c>
      <c r="U32" t="s">
        <v>312</v>
      </c>
      <c r="W32" t="s">
        <v>157</v>
      </c>
    </row>
  </sheetData>
  <conditionalFormatting sqref="C1:D1048576">
    <cfRule type="cellIs" dxfId="24" priority="2" operator="equal">
      <formula>"No"</formula>
    </cfRule>
  </conditionalFormatting>
  <conditionalFormatting sqref="D1:D1048576">
    <cfRule type="cellIs" dxfId="23" priority="4" operator="equal">
      <formula>"No?"</formula>
    </cfRule>
  </conditionalFormatting>
  <conditionalFormatting sqref="D1:E1048576">
    <cfRule type="cellIs" dxfId="22" priority="1" operator="equal">
      <formula>"??"</formula>
    </cfRule>
  </conditionalFormatting>
  <conditionalFormatting sqref="P1:P1048576">
    <cfRule type="cellIs" dxfId="21" priority="5" operator="equal">
      <formula>1</formula>
    </cfRule>
  </conditionalFormatting>
  <hyperlinks>
    <hyperlink ref="K2" r:id="rId1" xr:uid="{49B41704-7117-4E45-8AF6-107BFE228F05}"/>
    <hyperlink ref="K3" r:id="rId2" xr:uid="{8C465D19-A425-42EC-AA0C-7FB904FFF975}"/>
    <hyperlink ref="K4" r:id="rId3" xr:uid="{62C3AED3-FA06-41DC-8365-01384B298783}"/>
    <hyperlink ref="G5" r:id="rId4" xr:uid="{491E88A4-741E-462A-B1C9-523816B0E5ED}"/>
    <hyperlink ref="H5" r:id="rId5" xr:uid="{65A5153A-90B9-4EB1-B94B-52710D158524}"/>
    <hyperlink ref="K5" r:id="rId6" xr:uid="{420DF123-28F1-4111-AD7E-6EB5AC013BFE}"/>
    <hyperlink ref="G6" r:id="rId7" xr:uid="{47D86877-8DB1-4E10-B0C1-1FEEC0D6FD28}"/>
    <hyperlink ref="H6" r:id="rId8" xr:uid="{F87B7CF8-0D47-4BCD-8FDB-A6000CF36C2D}"/>
    <hyperlink ref="K6" r:id="rId9" xr:uid="{D9EFE35C-0B11-4B8D-8334-F160622F104F}"/>
    <hyperlink ref="K7" r:id="rId10" xr:uid="{AC033A46-F223-41D8-9A4B-621F32D06670}"/>
    <hyperlink ref="K8" r:id="rId11" xr:uid="{1A3A3537-95C8-461E-B172-AFAB126312A3}"/>
    <hyperlink ref="K9" r:id="rId12" xr:uid="{69558DC9-4673-4073-A423-45C54177A3BA}"/>
    <hyperlink ref="K10" r:id="rId13" xr:uid="{05725B82-AC66-4F07-8F33-7DE6672E7F1B}"/>
    <hyperlink ref="G10" r:id="rId14" xr:uid="{2E065D72-3191-4232-960A-16231AAAF0C9}"/>
    <hyperlink ref="H10" r:id="rId15" xr:uid="{D3A033EF-FC23-45B9-8125-618AD8C50D91}"/>
    <hyperlink ref="K11" r:id="rId16" xr:uid="{A74ABA4A-3ADF-477B-8751-97CEBD71CF9D}"/>
    <hyperlink ref="G12" r:id="rId17" xr:uid="{AEC3E17A-4DCF-40EF-8D8F-EED1CFB63FA6}"/>
    <hyperlink ref="H12" r:id="rId18" xr:uid="{B27AC479-57DA-4133-94D6-756B92082C4C}"/>
    <hyperlink ref="K12" r:id="rId19" xr:uid="{4EAF38F3-1374-4EB1-B2E8-B02A0E87001C}"/>
    <hyperlink ref="G13" r:id="rId20" xr:uid="{664980A8-F9EA-4C3B-86FA-0093122AEF75}"/>
    <hyperlink ref="H13" r:id="rId21" xr:uid="{46614E3B-4AD5-453F-B9A5-EA93A925F2EB}"/>
    <hyperlink ref="K13" r:id="rId22" xr:uid="{92D4FEEE-D671-401C-9E42-6B632136DE2F}"/>
    <hyperlink ref="K14" r:id="rId23" xr:uid="{3A5AB523-20D3-459B-92F1-34C2C4AA829B}"/>
    <hyperlink ref="K15" r:id="rId24" xr:uid="{39EFC17A-3285-4B58-AD63-1EED68B46718}"/>
    <hyperlink ref="K16" r:id="rId25" xr:uid="{CC495226-6B2C-4DE4-84AC-37BD2C6AC5D7}"/>
    <hyperlink ref="K17" r:id="rId26" xr:uid="{5E2EAD5B-AE4A-4E41-B7F4-61CAFAB939F9}"/>
    <hyperlink ref="G18" r:id="rId27" xr:uid="{F0B35FB0-5E38-4DDA-B6E6-D71D18C601FC}"/>
    <hyperlink ref="H18" r:id="rId28" xr:uid="{46AB4527-C071-42C0-96C1-63A461C8AF60}"/>
    <hyperlink ref="K18" r:id="rId29" xr:uid="{EB8368D8-F1CC-49D7-BA0F-4862E7D86562}"/>
    <hyperlink ref="G19" r:id="rId30" xr:uid="{118C064F-61B0-4F08-994B-B911B8B6B245}"/>
    <hyperlink ref="K19" r:id="rId31" xr:uid="{F5C43148-5AEE-4703-9A11-7CEB4C40A5DB}"/>
    <hyperlink ref="G20" r:id="rId32" xr:uid="{3C732FAC-4A87-47CD-BC6A-D97CF756D3F9}"/>
    <hyperlink ref="K20" r:id="rId33" xr:uid="{599E9677-321E-417F-93A1-5F5F20C7ACAE}"/>
    <hyperlink ref="G21" r:id="rId34" xr:uid="{EAD77ADB-D79C-48C0-99E5-20044DE34B12}"/>
    <hyperlink ref="H21" r:id="rId35" xr:uid="{96CA6922-07D6-4778-A75C-177354B13FED}"/>
    <hyperlink ref="G22" r:id="rId36" xr:uid="{293D7F55-D0E7-461A-8443-D5CF01963731}"/>
    <hyperlink ref="H22" r:id="rId37" xr:uid="{F5ABA670-C2FF-455C-B30E-0B719C949723}"/>
    <hyperlink ref="G23" r:id="rId38" xr:uid="{3B4BBC56-05E6-4EA1-9211-D1A124470E72}"/>
    <hyperlink ref="H23" r:id="rId39" xr:uid="{800A227A-3777-4582-AF2E-406D8EEECF77}"/>
    <hyperlink ref="K23" r:id="rId40" xr:uid="{254AA28D-6CA2-4391-A1E2-FD68378A87AF}"/>
    <hyperlink ref="G24" r:id="rId41" xr:uid="{F308720C-0B08-4CEC-8A56-92E7E6C881C0}"/>
    <hyperlink ref="K24" r:id="rId42" xr:uid="{7B62281D-E7C4-46BC-A929-DA3E1F0DC0BF}"/>
    <hyperlink ref="G25" r:id="rId43" xr:uid="{1CDB1FE7-01E0-4742-A207-5B7AA7D55B07}"/>
    <hyperlink ref="H25" r:id="rId44" xr:uid="{B7DB0517-CC97-4653-ABB6-6439B4A6672D}"/>
    <hyperlink ref="G26" r:id="rId45" xr:uid="{819CC28E-3402-45FC-965F-F6B4A994D144}"/>
    <hyperlink ref="H26" r:id="rId46" xr:uid="{CD5890B5-24E1-4A81-A628-56171F0AE6FC}"/>
    <hyperlink ref="G27" r:id="rId47" xr:uid="{52DBDBB7-C42B-47CF-9045-5103660E3F74}"/>
    <hyperlink ref="H27" r:id="rId48" xr:uid="{81A59A71-AAC2-4685-B526-9D286226EF9C}"/>
    <hyperlink ref="G28" r:id="rId49" xr:uid="{69BE709A-EC64-46F9-9CB3-886AA83FB534}"/>
    <hyperlink ref="H28" r:id="rId50" xr:uid="{EE779564-5FB9-4441-98BA-62590640236D}"/>
    <hyperlink ref="G29" r:id="rId51" xr:uid="{105BC83B-877A-4DD7-89CB-8A4610AF3F19}"/>
    <hyperlink ref="H29" r:id="rId52" xr:uid="{5773BE15-20DF-4ED7-87B5-2FD56ED54AA9}"/>
    <hyperlink ref="G30" r:id="rId53" xr:uid="{24E49850-2398-42CD-A66D-86EC571E6F73}"/>
    <hyperlink ref="H30" r:id="rId54" xr:uid="{568B9EF7-617F-43C1-B1E8-47A988366D87}"/>
    <hyperlink ref="G31" r:id="rId55" xr:uid="{672B9E10-17E4-4504-945F-C59899183733}"/>
    <hyperlink ref="H31" r:id="rId56" xr:uid="{F41C19C0-E9A7-4DA1-8461-A5BCCE07CF48}"/>
    <hyperlink ref="K32" r:id="rId57" xr:uid="{7A202CDF-C186-4EBD-8956-7A610B277EF6}"/>
    <hyperlink ref="K31" r:id="rId58" xr:uid="{056CE533-6590-47EE-84D1-7975C1762B8F}"/>
    <hyperlink ref="K30" r:id="rId59" xr:uid="{88F5F895-8722-4087-8C29-5626BB7AE403}"/>
    <hyperlink ref="K29" r:id="rId60" xr:uid="{0C85AC7E-986A-499D-A54F-89F786CAC276}"/>
  </hyperlinks>
  <pageMargins left="0.7" right="0.7" top="0.75" bottom="0.75" header="0.3" footer="0.3"/>
  <legacyDrawing r:id="rId6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D91E-FB96-4B9D-9D51-1A7531566096}">
  <dimension ref="A1:AD13"/>
  <sheetViews>
    <sheetView workbookViewId="0">
      <pane xSplit="1" topLeftCell="D1" activePane="topRight" state="frozen"/>
      <selection pane="topRight" activeCell="A14" sqref="A14"/>
    </sheetView>
  </sheetViews>
  <sheetFormatPr defaultRowHeight="15" x14ac:dyDescent="0.25"/>
  <cols>
    <col min="1" max="1" width="13.140625" bestFit="1" customWidth="1"/>
    <col min="2" max="2" width="10.42578125" bestFit="1" customWidth="1"/>
    <col min="4" max="4" width="35.7109375" bestFit="1" customWidth="1"/>
    <col min="5" max="5" width="24.140625" bestFit="1" customWidth="1"/>
    <col min="6" max="6" width="15.7109375" bestFit="1" customWidth="1"/>
    <col min="12" max="12" width="24.28515625" bestFit="1" customWidth="1"/>
    <col min="13" max="13" width="19.7109375" bestFit="1" customWidth="1"/>
    <col min="14" max="14" width="10.140625" bestFit="1" customWidth="1"/>
    <col min="17" max="17" width="9.85546875" bestFit="1" customWidth="1"/>
    <col min="19" max="19" width="11.7109375" bestFit="1" customWidth="1"/>
    <col min="20" max="20" width="16.85546875" bestFit="1" customWidth="1"/>
    <col min="21" max="21" width="41" bestFit="1" customWidth="1"/>
    <col min="22" max="22" width="18.28515625" bestFit="1" customWidth="1"/>
    <col min="23" max="23" width="15.42578125" bestFit="1" customWidth="1"/>
    <col min="24" max="24" width="17.7109375" bestFit="1" customWidth="1"/>
    <col min="25" max="25" width="26.140625" bestFit="1" customWidth="1"/>
    <col min="26" max="26" width="21.7109375" bestFit="1" customWidth="1"/>
    <col min="27" max="27" width="20.5703125" bestFit="1" customWidth="1"/>
    <col min="28" max="28" width="12" bestFit="1" customWidth="1"/>
    <col min="30" max="30" width="10.85546875" bestFit="1" customWidth="1"/>
  </cols>
  <sheetData>
    <row r="1" spans="1:30" x14ac:dyDescent="0.25">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25">
      <c r="A2" t="s">
        <v>160</v>
      </c>
      <c r="B2" t="s">
        <v>2</v>
      </c>
      <c r="C2" t="s">
        <v>44</v>
      </c>
      <c r="D2" t="s">
        <v>248</v>
      </c>
      <c r="E2" t="s">
        <v>248</v>
      </c>
      <c r="F2" t="s">
        <v>31</v>
      </c>
      <c r="G2" s="1" t="s">
        <v>189</v>
      </c>
      <c r="H2" s="1" t="s">
        <v>190</v>
      </c>
      <c r="I2" t="s">
        <v>31</v>
      </c>
      <c r="J2" t="s">
        <v>25</v>
      </c>
      <c r="K2" t="s">
        <v>36</v>
      </c>
      <c r="L2" t="s">
        <v>36</v>
      </c>
      <c r="M2" t="s">
        <v>247</v>
      </c>
      <c r="N2" t="s">
        <v>191</v>
      </c>
      <c r="Q2">
        <v>1000000</v>
      </c>
    </row>
    <row r="3" spans="1:30" x14ac:dyDescent="0.25">
      <c r="A3" t="s">
        <v>161</v>
      </c>
      <c r="B3" t="s">
        <v>10</v>
      </c>
      <c r="C3" t="s">
        <v>44</v>
      </c>
      <c r="D3" t="s">
        <v>31</v>
      </c>
      <c r="E3" t="s">
        <v>31</v>
      </c>
      <c r="F3" t="s">
        <v>31</v>
      </c>
      <c r="G3" s="1" t="s">
        <v>196</v>
      </c>
      <c r="H3" s="1" t="s">
        <v>197</v>
      </c>
      <c r="I3" t="s">
        <v>31</v>
      </c>
      <c r="J3" t="s">
        <v>25</v>
      </c>
      <c r="K3" t="s">
        <v>36</v>
      </c>
      <c r="L3" t="s">
        <v>36</v>
      </c>
      <c r="M3" t="s">
        <v>251</v>
      </c>
      <c r="N3" t="s">
        <v>192</v>
      </c>
      <c r="Q3" t="s">
        <v>36</v>
      </c>
      <c r="T3" t="s">
        <v>251</v>
      </c>
      <c r="U3" t="s">
        <v>251</v>
      </c>
    </row>
    <row r="4" spans="1:30" x14ac:dyDescent="0.25">
      <c r="A4" t="s">
        <v>162</v>
      </c>
      <c r="B4" t="s">
        <v>10</v>
      </c>
      <c r="C4" t="s">
        <v>44</v>
      </c>
      <c r="D4" t="s">
        <v>37</v>
      </c>
      <c r="E4" t="s">
        <v>37</v>
      </c>
      <c r="F4" t="s">
        <v>31</v>
      </c>
      <c r="G4" s="1" t="s">
        <v>194</v>
      </c>
      <c r="H4" s="1" t="s">
        <v>195</v>
      </c>
      <c r="I4" t="s">
        <v>31</v>
      </c>
      <c r="J4" t="s">
        <v>25</v>
      </c>
      <c r="K4" t="s">
        <v>36</v>
      </c>
      <c r="L4" t="s">
        <v>36</v>
      </c>
      <c r="M4" t="s">
        <v>247</v>
      </c>
      <c r="N4" t="s">
        <v>193</v>
      </c>
      <c r="Q4" t="s">
        <v>36</v>
      </c>
    </row>
    <row r="5" spans="1:30" x14ac:dyDescent="0.25">
      <c r="A5" t="s">
        <v>163</v>
      </c>
      <c r="B5" t="s">
        <v>10</v>
      </c>
      <c r="C5" t="s">
        <v>236</v>
      </c>
      <c r="D5" t="s">
        <v>31</v>
      </c>
      <c r="E5" t="s">
        <v>249</v>
      </c>
      <c r="F5" t="s">
        <v>31</v>
      </c>
      <c r="G5" s="1" t="s">
        <v>198</v>
      </c>
      <c r="H5" s="1" t="s">
        <v>199</v>
      </c>
      <c r="I5" t="s">
        <v>31</v>
      </c>
      <c r="J5" t="s">
        <v>25</v>
      </c>
      <c r="K5" t="s">
        <v>36</v>
      </c>
      <c r="L5" t="s">
        <v>36</v>
      </c>
      <c r="M5" t="s">
        <v>263</v>
      </c>
      <c r="N5" t="s">
        <v>212</v>
      </c>
      <c r="Q5" t="s">
        <v>36</v>
      </c>
      <c r="T5" t="s">
        <v>263</v>
      </c>
      <c r="U5" t="s">
        <v>263</v>
      </c>
    </row>
    <row r="6" spans="1:30" x14ac:dyDescent="0.25">
      <c r="A6" t="s">
        <v>164</v>
      </c>
      <c r="B6" t="s">
        <v>10</v>
      </c>
      <c r="C6" t="s">
        <v>31</v>
      </c>
      <c r="D6" t="s">
        <v>31</v>
      </c>
      <c r="E6" t="s">
        <v>31</v>
      </c>
      <c r="F6" t="s">
        <v>31</v>
      </c>
      <c r="G6" s="1" t="s">
        <v>200</v>
      </c>
      <c r="H6" s="1" t="s">
        <v>201</v>
      </c>
      <c r="I6" t="s">
        <v>31</v>
      </c>
      <c r="J6" t="s">
        <v>31</v>
      </c>
      <c r="K6" s="1" t="s">
        <v>202</v>
      </c>
      <c r="L6" t="s">
        <v>36</v>
      </c>
      <c r="M6" t="s">
        <v>253</v>
      </c>
      <c r="N6" t="s">
        <v>213</v>
      </c>
      <c r="O6">
        <v>1</v>
      </c>
      <c r="Q6" t="s">
        <v>36</v>
      </c>
      <c r="T6" t="s">
        <v>253</v>
      </c>
      <c r="U6" t="s">
        <v>253</v>
      </c>
    </row>
    <row r="7" spans="1:30" x14ac:dyDescent="0.25">
      <c r="A7" t="s">
        <v>165</v>
      </c>
      <c r="B7" t="s">
        <v>21</v>
      </c>
      <c r="C7" t="s">
        <v>31</v>
      </c>
      <c r="D7" t="s">
        <v>31</v>
      </c>
      <c r="E7" t="s">
        <v>31</v>
      </c>
      <c r="F7" t="s">
        <v>31</v>
      </c>
      <c r="G7" s="1" t="s">
        <v>203</v>
      </c>
      <c r="H7" s="1" t="s">
        <v>204</v>
      </c>
      <c r="I7" t="s">
        <v>31</v>
      </c>
      <c r="J7" t="s">
        <v>31</v>
      </c>
      <c r="K7" s="1" t="s">
        <v>208</v>
      </c>
      <c r="L7" t="s">
        <v>166</v>
      </c>
      <c r="M7" t="s">
        <v>254</v>
      </c>
      <c r="N7" t="s">
        <v>214</v>
      </c>
      <c r="Q7" t="s">
        <v>36</v>
      </c>
    </row>
    <row r="8" spans="1:30" x14ac:dyDescent="0.25">
      <c r="A8" t="s">
        <v>167</v>
      </c>
      <c r="B8" t="s">
        <v>21</v>
      </c>
      <c r="C8" t="s">
        <v>31</v>
      </c>
      <c r="D8" t="s">
        <v>249</v>
      </c>
      <c r="E8" t="s">
        <v>25</v>
      </c>
      <c r="F8" t="s">
        <v>31</v>
      </c>
      <c r="G8" s="1" t="s">
        <v>209</v>
      </c>
      <c r="H8" s="1" t="s">
        <v>210</v>
      </c>
      <c r="I8" t="s">
        <v>31</v>
      </c>
      <c r="J8" t="s">
        <v>31</v>
      </c>
      <c r="K8" s="1" t="s">
        <v>229</v>
      </c>
      <c r="L8" t="s">
        <v>36</v>
      </c>
      <c r="M8" t="s">
        <v>262</v>
      </c>
      <c r="N8" t="s">
        <v>211</v>
      </c>
      <c r="Q8" t="s">
        <v>36</v>
      </c>
    </row>
    <row r="9" spans="1:30" x14ac:dyDescent="0.25">
      <c r="A9" t="s">
        <v>168</v>
      </c>
      <c r="B9" t="s">
        <v>21</v>
      </c>
      <c r="C9" t="s">
        <v>31</v>
      </c>
      <c r="D9" t="s">
        <v>31</v>
      </c>
      <c r="E9" t="s">
        <v>31</v>
      </c>
      <c r="F9" t="s">
        <v>31</v>
      </c>
      <c r="G9" s="1" t="s">
        <v>216</v>
      </c>
      <c r="H9" s="1" t="s">
        <v>217</v>
      </c>
      <c r="I9" t="s">
        <v>31</v>
      </c>
      <c r="J9" t="s">
        <v>31</v>
      </c>
      <c r="K9" s="1" t="s">
        <v>218</v>
      </c>
      <c r="L9" t="s">
        <v>36</v>
      </c>
      <c r="M9" t="s">
        <v>255</v>
      </c>
      <c r="N9" t="s">
        <v>215</v>
      </c>
      <c r="Q9" t="s">
        <v>36</v>
      </c>
    </row>
    <row r="10" spans="1:30" x14ac:dyDescent="0.25">
      <c r="A10" t="s">
        <v>169</v>
      </c>
      <c r="B10" t="s">
        <v>21</v>
      </c>
      <c r="C10" t="s">
        <v>31</v>
      </c>
      <c r="D10" t="s">
        <v>31</v>
      </c>
      <c r="E10" t="s">
        <v>31</v>
      </c>
      <c r="F10" t="s">
        <v>31</v>
      </c>
      <c r="G10" s="1" t="s">
        <v>221</v>
      </c>
      <c r="H10" s="1" t="s">
        <v>222</v>
      </c>
      <c r="I10" t="s">
        <v>31</v>
      </c>
      <c r="J10" t="s">
        <v>31</v>
      </c>
      <c r="K10" s="1" t="s">
        <v>219</v>
      </c>
      <c r="L10" t="s">
        <v>36</v>
      </c>
      <c r="M10" t="s">
        <v>256</v>
      </c>
      <c r="N10" t="s">
        <v>220</v>
      </c>
      <c r="Q10" t="s">
        <v>36</v>
      </c>
    </row>
    <row r="11" spans="1:30" x14ac:dyDescent="0.25">
      <c r="A11" t="s">
        <v>172</v>
      </c>
      <c r="B11" t="s">
        <v>21</v>
      </c>
      <c r="C11" t="s">
        <v>31</v>
      </c>
      <c r="D11" t="s">
        <v>248</v>
      </c>
      <c r="E11" t="s">
        <v>37</v>
      </c>
      <c r="F11" t="s">
        <v>31</v>
      </c>
      <c r="G11" s="1" t="s">
        <v>225</v>
      </c>
      <c r="H11" s="1" t="s">
        <v>226</v>
      </c>
      <c r="I11" t="s">
        <v>31</v>
      </c>
      <c r="J11" t="s">
        <v>31</v>
      </c>
      <c r="K11" s="1" t="s">
        <v>223</v>
      </c>
      <c r="L11" t="s">
        <v>36</v>
      </c>
      <c r="M11" t="s">
        <v>247</v>
      </c>
      <c r="N11" t="s">
        <v>224</v>
      </c>
      <c r="P11">
        <v>1</v>
      </c>
      <c r="Q11" t="s">
        <v>36</v>
      </c>
    </row>
    <row r="12" spans="1:30" x14ac:dyDescent="0.25">
      <c r="A12" t="s">
        <v>23</v>
      </c>
      <c r="B12" t="s">
        <v>21</v>
      </c>
      <c r="C12" t="s">
        <v>31</v>
      </c>
      <c r="D12" t="s">
        <v>31</v>
      </c>
      <c r="E12" t="s">
        <v>31</v>
      </c>
      <c r="F12" t="s">
        <v>31</v>
      </c>
      <c r="G12" s="1" t="s">
        <v>227</v>
      </c>
      <c r="H12" s="1" t="s">
        <v>228</v>
      </c>
      <c r="I12" t="s">
        <v>31</v>
      </c>
      <c r="J12" t="s">
        <v>31</v>
      </c>
      <c r="K12" s="1" t="s">
        <v>205</v>
      </c>
      <c r="L12" t="s">
        <v>36</v>
      </c>
      <c r="M12" t="s">
        <v>257</v>
      </c>
      <c r="N12" t="s">
        <v>155</v>
      </c>
      <c r="Q12" t="s">
        <v>36</v>
      </c>
      <c r="T12" t="s">
        <v>257</v>
      </c>
      <c r="U12" t="s">
        <v>257</v>
      </c>
    </row>
    <row r="13" spans="1:30" x14ac:dyDescent="0.25">
      <c r="M13" t="s">
        <v>252</v>
      </c>
    </row>
  </sheetData>
  <conditionalFormatting sqref="C1:D1048576">
    <cfRule type="cellIs" dxfId="20" priority="2" operator="equal">
      <formula>"No"</formula>
    </cfRule>
  </conditionalFormatting>
  <conditionalFormatting sqref="D1:D1048576">
    <cfRule type="cellIs" dxfId="19" priority="5" operator="equal">
      <formula>"No?"</formula>
    </cfRule>
  </conditionalFormatting>
  <conditionalFormatting sqref="D1:E1048576">
    <cfRule type="cellIs" dxfId="18" priority="1" operator="equal">
      <formula>"??"</formula>
    </cfRule>
  </conditionalFormatting>
  <conditionalFormatting sqref="P1:P1048576">
    <cfRule type="cellIs" dxfId="17" priority="6" operator="equal">
      <formula>1</formula>
    </cfRule>
  </conditionalFormatting>
  <hyperlinks>
    <hyperlink ref="G2" r:id="rId1" xr:uid="{8F514ACB-5CB3-493A-98F4-1DE1278020A2}"/>
    <hyperlink ref="H2" r:id="rId2" xr:uid="{E6233ED2-E7B6-4408-8519-357D490D4B97}"/>
    <hyperlink ref="G4" r:id="rId3" xr:uid="{EA8FA135-D031-4450-894F-48BA8C85BEB8}"/>
    <hyperlink ref="H4" r:id="rId4" xr:uid="{1396F5FB-EE63-4FBC-B5AA-1AB1FD333F6E}"/>
    <hyperlink ref="G3" r:id="rId5" xr:uid="{895B62BE-AB91-4D2F-B277-5BEFAD4B9DF0}"/>
    <hyperlink ref="H3" r:id="rId6" xr:uid="{6FB75C30-3650-4DC6-A0E9-9871DC15A4AB}"/>
    <hyperlink ref="G5" r:id="rId7" xr:uid="{4FCEDFC9-8982-4C97-B581-AB2B1A76F774}"/>
    <hyperlink ref="H5" r:id="rId8" xr:uid="{32624FB5-E08E-48B3-B783-8A491B3275E0}"/>
    <hyperlink ref="G6" r:id="rId9" xr:uid="{8F27EF2F-9377-4014-A864-33EE631245C9}"/>
    <hyperlink ref="H6" r:id="rId10" xr:uid="{87CEEE90-B61E-42CE-B9C6-BE0BE8BE3169}"/>
    <hyperlink ref="K6" r:id="rId11" xr:uid="{2AB7D00F-FFC1-4E2A-BEC1-5C64DAE8DD89}"/>
    <hyperlink ref="G7" r:id="rId12" xr:uid="{4D6DAF66-7595-41B6-8AF5-7C0E1AF27211}"/>
    <hyperlink ref="H7" r:id="rId13" xr:uid="{46CA2C68-32AF-4EAE-8F5D-619B1093E856}"/>
    <hyperlink ref="K7" r:id="rId14" xr:uid="{C0507F63-4236-45DD-A733-AF7C674A268C}"/>
    <hyperlink ref="G8" r:id="rId15" xr:uid="{839D0125-0CF6-441E-A9B6-70B395307D4D}"/>
    <hyperlink ref="H8" r:id="rId16" xr:uid="{D2C841FC-3F52-4F77-86B6-FEE63038B6DD}"/>
    <hyperlink ref="G9" r:id="rId17" xr:uid="{BB189577-B139-4299-8207-710B560CF59A}"/>
    <hyperlink ref="H9" r:id="rId18" xr:uid="{276C47A5-2C94-4DB3-9166-9B7FCDA07AAE}"/>
    <hyperlink ref="K9" r:id="rId19" xr:uid="{722D3326-F2C5-425E-B36F-A8A45CEB412D}"/>
    <hyperlink ref="K10" r:id="rId20" xr:uid="{CC5934F6-DB80-4269-A3B8-4FF918B1CC17}"/>
    <hyperlink ref="G10" r:id="rId21" xr:uid="{A5B79733-AA62-47C3-AEAD-C8900C309C78}"/>
    <hyperlink ref="H10" r:id="rId22" xr:uid="{C4C76C27-659F-4ABE-9A02-5AF49FAF2B0A}"/>
    <hyperlink ref="K11" r:id="rId23" xr:uid="{0363F6A3-CD2A-4517-816E-1912DCD862D1}"/>
    <hyperlink ref="G11" r:id="rId24" xr:uid="{0CE19F45-92B1-4982-B8EE-FE794AC59237}"/>
    <hyperlink ref="H11" r:id="rId25" xr:uid="{C6971925-BFA6-4335-9749-BC6E405699B6}"/>
    <hyperlink ref="G12" r:id="rId26" xr:uid="{28B1375C-4C5B-41BD-A072-25AC8C76F165}"/>
    <hyperlink ref="H12" r:id="rId27" xr:uid="{945BE78D-36F4-4013-A8CA-B74C042365E2}"/>
    <hyperlink ref="K12" r:id="rId28" xr:uid="{488024B7-E21E-4A75-B876-74CFDEB8EC79}"/>
    <hyperlink ref="K8" r:id="rId29" xr:uid="{80F1D86B-6BA4-4572-9756-D96664C66C70}"/>
  </hyperlinks>
  <pageMargins left="0.7" right="0.7" top="0.75" bottom="0.75" header="0.3" footer="0.3"/>
  <legacyDrawing r:id="rId3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F9520-1367-427E-A5F0-C3EABC4F861D}">
  <dimension ref="A1:AD19"/>
  <sheetViews>
    <sheetView workbookViewId="0">
      <pane xSplit="1" topLeftCell="E1" activePane="topRight" state="frozen"/>
      <selection pane="topRight" activeCell="N7" sqref="N7"/>
    </sheetView>
  </sheetViews>
  <sheetFormatPr defaultRowHeight="15" x14ac:dyDescent="0.25"/>
  <cols>
    <col min="1" max="1" width="11.7109375" bestFit="1" customWidth="1"/>
    <col min="2" max="2" width="10.42578125" bestFit="1" customWidth="1"/>
    <col min="3" max="3" width="9" bestFit="1" customWidth="1"/>
    <col min="4" max="4" width="35.7109375" bestFit="1" customWidth="1"/>
    <col min="5" max="5" width="24.140625" bestFit="1" customWidth="1"/>
    <col min="6" max="6" width="15.7109375" bestFit="1" customWidth="1"/>
    <col min="12" max="12" width="22.42578125" bestFit="1" customWidth="1"/>
    <col min="13" max="13" width="19.7109375" bestFit="1" customWidth="1"/>
    <col min="14" max="14" width="10.140625" bestFit="1" customWidth="1"/>
    <col min="15" max="15" width="9.5703125" bestFit="1" customWidth="1"/>
    <col min="17" max="17" width="15.85546875" bestFit="1" customWidth="1"/>
    <col min="19" max="19" width="11.7109375" bestFit="1" customWidth="1"/>
    <col min="20" max="20" width="16.85546875" bestFit="1" customWidth="1"/>
    <col min="21" max="21" width="41" bestFit="1" customWidth="1"/>
    <col min="22" max="22" width="18.28515625" bestFit="1" customWidth="1"/>
    <col min="23" max="23" width="15.42578125" bestFit="1" customWidth="1"/>
    <col min="24" max="24" width="17.7109375" bestFit="1" customWidth="1"/>
    <col min="25" max="25" width="26.140625" bestFit="1" customWidth="1"/>
    <col min="26" max="26" width="21.7109375" bestFit="1" customWidth="1"/>
    <col min="27" max="27" width="20.5703125" bestFit="1" customWidth="1"/>
    <col min="28" max="28" width="12" bestFit="1" customWidth="1"/>
    <col min="30" max="30" width="10.85546875" bestFit="1" customWidth="1"/>
  </cols>
  <sheetData>
    <row r="1" spans="1:30" x14ac:dyDescent="0.25">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278</v>
      </c>
      <c r="U1" t="s">
        <v>280</v>
      </c>
      <c r="V1" t="s">
        <v>279</v>
      </c>
      <c r="W1" t="s">
        <v>281</v>
      </c>
      <c r="X1" t="s">
        <v>282</v>
      </c>
      <c r="Y1" t="s">
        <v>283</v>
      </c>
      <c r="Z1" t="s">
        <v>284</v>
      </c>
      <c r="AA1" t="s">
        <v>285</v>
      </c>
      <c r="AB1" t="s">
        <v>286</v>
      </c>
      <c r="AC1" t="s">
        <v>287</v>
      </c>
      <c r="AD1" t="s">
        <v>288</v>
      </c>
    </row>
    <row r="2" spans="1:30" x14ac:dyDescent="0.25">
      <c r="A2" t="s">
        <v>173</v>
      </c>
      <c r="B2" t="s">
        <v>2</v>
      </c>
      <c r="C2" t="s">
        <v>31</v>
      </c>
      <c r="D2" t="s">
        <v>249</v>
      </c>
      <c r="E2" t="s">
        <v>25</v>
      </c>
      <c r="F2" t="s">
        <v>31</v>
      </c>
      <c r="G2" s="1" t="s">
        <v>230</v>
      </c>
      <c r="H2" t="s">
        <v>36</v>
      </c>
      <c r="I2" t="s">
        <v>31</v>
      </c>
      <c r="J2" s="4" t="s">
        <v>31</v>
      </c>
      <c r="K2" s="1" t="s">
        <v>230</v>
      </c>
      <c r="L2" t="s">
        <v>36</v>
      </c>
      <c r="M2" t="s">
        <v>261</v>
      </c>
      <c r="N2" t="s">
        <v>115</v>
      </c>
      <c r="O2">
        <v>1</v>
      </c>
      <c r="Q2" t="s">
        <v>258</v>
      </c>
      <c r="T2" t="s">
        <v>261</v>
      </c>
      <c r="U2" t="s">
        <v>261</v>
      </c>
    </row>
    <row r="3" spans="1:30" x14ac:dyDescent="0.25">
      <c r="A3" t="s">
        <v>174</v>
      </c>
      <c r="B3" t="s">
        <v>2</v>
      </c>
      <c r="C3" t="s">
        <v>31</v>
      </c>
      <c r="D3" t="s">
        <v>31</v>
      </c>
      <c r="E3" t="s">
        <v>25</v>
      </c>
      <c r="F3" t="s">
        <v>31</v>
      </c>
      <c r="G3" s="1" t="s">
        <v>231</v>
      </c>
      <c r="H3" t="s">
        <v>36</v>
      </c>
      <c r="I3" t="s">
        <v>31</v>
      </c>
      <c r="J3" t="s">
        <v>31</v>
      </c>
      <c r="K3" s="1" t="s">
        <v>231</v>
      </c>
      <c r="L3" t="s">
        <v>36</v>
      </c>
      <c r="M3" t="s">
        <v>260</v>
      </c>
      <c r="N3" t="s">
        <v>119</v>
      </c>
      <c r="Q3" t="s">
        <v>274</v>
      </c>
      <c r="T3" t="s">
        <v>260</v>
      </c>
      <c r="U3" t="s">
        <v>260</v>
      </c>
    </row>
    <row r="4" spans="1:30" x14ac:dyDescent="0.25">
      <c r="A4" t="s">
        <v>175</v>
      </c>
      <c r="B4" t="s">
        <v>2</v>
      </c>
      <c r="C4" t="s">
        <v>31</v>
      </c>
      <c r="D4" t="s">
        <v>31</v>
      </c>
      <c r="E4" t="s">
        <v>25</v>
      </c>
      <c r="F4" t="s">
        <v>31</v>
      </c>
      <c r="G4" s="1" t="s">
        <v>232</v>
      </c>
      <c r="H4" t="s">
        <v>36</v>
      </c>
      <c r="I4" t="s">
        <v>31</v>
      </c>
      <c r="J4" t="s">
        <v>31</v>
      </c>
      <c r="K4" s="1" t="s">
        <v>232</v>
      </c>
      <c r="L4" t="s">
        <v>36</v>
      </c>
      <c r="M4" t="s">
        <v>259</v>
      </c>
      <c r="N4" t="s">
        <v>119</v>
      </c>
      <c r="O4" t="s">
        <v>247</v>
      </c>
      <c r="Q4" t="s">
        <v>274</v>
      </c>
      <c r="T4" t="s">
        <v>313</v>
      </c>
      <c r="U4" t="s">
        <v>313</v>
      </c>
    </row>
    <row r="5" spans="1:30" x14ac:dyDescent="0.25">
      <c r="A5" t="s">
        <v>176</v>
      </c>
      <c r="B5" t="s">
        <v>2</v>
      </c>
      <c r="C5" t="s">
        <v>31</v>
      </c>
      <c r="D5" t="s">
        <v>31</v>
      </c>
      <c r="E5" t="s">
        <v>248</v>
      </c>
      <c r="F5" t="s">
        <v>31</v>
      </c>
      <c r="G5" s="1" t="s">
        <v>233</v>
      </c>
      <c r="H5" t="s">
        <v>36</v>
      </c>
      <c r="I5" t="s">
        <v>31</v>
      </c>
      <c r="J5" t="s">
        <v>31</v>
      </c>
      <c r="K5" s="1" t="s">
        <v>233</v>
      </c>
      <c r="L5" t="s">
        <v>36</v>
      </c>
      <c r="M5" t="s">
        <v>247</v>
      </c>
      <c r="N5" t="s">
        <v>234</v>
      </c>
      <c r="Q5" t="s">
        <v>247</v>
      </c>
    </row>
    <row r="6" spans="1:30" x14ac:dyDescent="0.25">
      <c r="A6" t="s">
        <v>177</v>
      </c>
      <c r="B6" t="s">
        <v>10</v>
      </c>
      <c r="C6" t="s">
        <v>236</v>
      </c>
      <c r="D6" t="s">
        <v>248</v>
      </c>
      <c r="E6" t="s">
        <v>249</v>
      </c>
      <c r="F6" t="s">
        <v>25</v>
      </c>
      <c r="G6" t="s">
        <v>36</v>
      </c>
      <c r="H6" t="s">
        <v>36</v>
      </c>
      <c r="I6" t="s">
        <v>31</v>
      </c>
      <c r="J6" t="s">
        <v>25</v>
      </c>
      <c r="K6" t="s">
        <v>36</v>
      </c>
      <c r="L6" t="s">
        <v>36</v>
      </c>
      <c r="M6" t="s">
        <v>264</v>
      </c>
      <c r="N6" t="s">
        <v>235</v>
      </c>
      <c r="O6">
        <v>1</v>
      </c>
      <c r="Q6" t="s">
        <v>36</v>
      </c>
      <c r="T6" t="s">
        <v>264</v>
      </c>
      <c r="U6" t="s">
        <v>264</v>
      </c>
    </row>
    <row r="7" spans="1:30" x14ac:dyDescent="0.25">
      <c r="A7" t="s">
        <v>237</v>
      </c>
      <c r="B7" t="s">
        <v>10</v>
      </c>
      <c r="C7" t="s">
        <v>236</v>
      </c>
      <c r="D7" t="s">
        <v>31</v>
      </c>
      <c r="E7" t="s">
        <v>31</v>
      </c>
      <c r="F7" t="s">
        <v>25</v>
      </c>
      <c r="G7" t="s">
        <v>36</v>
      </c>
      <c r="H7" t="s">
        <v>36</v>
      </c>
      <c r="I7" t="s">
        <v>31</v>
      </c>
      <c r="J7" t="s">
        <v>25</v>
      </c>
      <c r="K7" t="s">
        <v>36</v>
      </c>
      <c r="L7" t="s">
        <v>36</v>
      </c>
      <c r="M7" t="s">
        <v>265</v>
      </c>
      <c r="N7" t="s">
        <v>275</v>
      </c>
      <c r="O7">
        <v>1</v>
      </c>
      <c r="Q7" t="s">
        <v>36</v>
      </c>
      <c r="T7" t="s">
        <v>265</v>
      </c>
      <c r="U7" t="s">
        <v>265</v>
      </c>
    </row>
    <row r="8" spans="1:30" x14ac:dyDescent="0.25">
      <c r="A8" t="s">
        <v>178</v>
      </c>
      <c r="B8" t="s">
        <v>10</v>
      </c>
      <c r="C8" t="s">
        <v>236</v>
      </c>
      <c r="D8" t="s">
        <v>31</v>
      </c>
      <c r="E8" t="s">
        <v>31</v>
      </c>
      <c r="F8" t="s">
        <v>25</v>
      </c>
      <c r="G8" t="s">
        <v>36</v>
      </c>
      <c r="H8" t="s">
        <v>36</v>
      </c>
      <c r="I8" t="s">
        <v>31</v>
      </c>
      <c r="J8" t="s">
        <v>25</v>
      </c>
      <c r="K8" t="s">
        <v>36</v>
      </c>
      <c r="L8" t="s">
        <v>36</v>
      </c>
      <c r="M8" t="s">
        <v>266</v>
      </c>
      <c r="N8" t="s">
        <v>276</v>
      </c>
      <c r="O8">
        <v>1</v>
      </c>
      <c r="Q8" t="s">
        <v>36</v>
      </c>
      <c r="T8" t="s">
        <v>266</v>
      </c>
      <c r="U8" t="s">
        <v>266</v>
      </c>
    </row>
    <row r="9" spans="1:30" x14ac:dyDescent="0.25">
      <c r="A9" t="s">
        <v>179</v>
      </c>
      <c r="B9" t="s">
        <v>10</v>
      </c>
      <c r="C9" t="s">
        <v>25</v>
      </c>
      <c r="D9" t="s">
        <v>36</v>
      </c>
      <c r="E9" t="s">
        <v>36</v>
      </c>
      <c r="F9" t="s">
        <v>25</v>
      </c>
      <c r="G9" t="s">
        <v>36</v>
      </c>
      <c r="H9" t="s">
        <v>36</v>
      </c>
      <c r="I9" t="s">
        <v>25</v>
      </c>
      <c r="J9" t="s">
        <v>25</v>
      </c>
      <c r="K9" t="s">
        <v>36</v>
      </c>
      <c r="L9" t="s">
        <v>36</v>
      </c>
      <c r="M9" t="s">
        <v>247</v>
      </c>
      <c r="N9" t="s">
        <v>36</v>
      </c>
      <c r="Q9" t="s">
        <v>36</v>
      </c>
    </row>
    <row r="10" spans="1:30" x14ac:dyDescent="0.25">
      <c r="A10" t="s">
        <v>180</v>
      </c>
      <c r="B10" t="s">
        <v>10</v>
      </c>
      <c r="C10" t="s">
        <v>25</v>
      </c>
      <c r="D10" t="s">
        <v>36</v>
      </c>
      <c r="E10" t="s">
        <v>36</v>
      </c>
      <c r="F10" t="s">
        <v>25</v>
      </c>
      <c r="G10" t="s">
        <v>36</v>
      </c>
      <c r="H10" t="s">
        <v>36</v>
      </c>
      <c r="I10" t="s">
        <v>25</v>
      </c>
      <c r="J10" t="s">
        <v>25</v>
      </c>
      <c r="K10" t="s">
        <v>36</v>
      </c>
      <c r="L10" t="s">
        <v>36</v>
      </c>
      <c r="M10" t="s">
        <v>247</v>
      </c>
      <c r="N10" t="s">
        <v>36</v>
      </c>
      <c r="Q10" t="s">
        <v>36</v>
      </c>
    </row>
    <row r="11" spans="1:30" x14ac:dyDescent="0.25">
      <c r="A11" t="s">
        <v>181</v>
      </c>
      <c r="B11" t="s">
        <v>10</v>
      </c>
      <c r="C11" t="s">
        <v>236</v>
      </c>
      <c r="D11" t="s">
        <v>31</v>
      </c>
      <c r="E11" t="s">
        <v>31</v>
      </c>
      <c r="F11" t="s">
        <v>25</v>
      </c>
      <c r="G11" t="s">
        <v>36</v>
      </c>
      <c r="H11" t="s">
        <v>36</v>
      </c>
      <c r="I11" t="s">
        <v>31</v>
      </c>
      <c r="J11" t="s">
        <v>25</v>
      </c>
      <c r="K11" t="s">
        <v>36</v>
      </c>
      <c r="L11" t="s">
        <v>36</v>
      </c>
      <c r="M11" t="s">
        <v>267</v>
      </c>
      <c r="N11" t="s">
        <v>238</v>
      </c>
      <c r="Q11" t="s">
        <v>36</v>
      </c>
      <c r="T11" t="s">
        <v>267</v>
      </c>
      <c r="U11" t="s">
        <v>267</v>
      </c>
    </row>
    <row r="12" spans="1:30" x14ac:dyDescent="0.25">
      <c r="A12" t="s">
        <v>182</v>
      </c>
      <c r="B12" t="s">
        <v>10</v>
      </c>
      <c r="C12" t="s">
        <v>236</v>
      </c>
      <c r="D12" t="s">
        <v>31</v>
      </c>
      <c r="E12" t="s">
        <v>31</v>
      </c>
      <c r="F12" t="s">
        <v>25</v>
      </c>
      <c r="G12" t="s">
        <v>36</v>
      </c>
      <c r="H12" t="s">
        <v>36</v>
      </c>
      <c r="I12" t="s">
        <v>31</v>
      </c>
      <c r="J12" t="s">
        <v>25</v>
      </c>
      <c r="K12" t="s">
        <v>36</v>
      </c>
      <c r="L12" t="s">
        <v>36</v>
      </c>
      <c r="M12" t="s">
        <v>268</v>
      </c>
      <c r="N12" t="s">
        <v>239</v>
      </c>
      <c r="Q12" t="s">
        <v>36</v>
      </c>
      <c r="T12" t="s">
        <v>268</v>
      </c>
      <c r="U12" t="s">
        <v>268</v>
      </c>
    </row>
    <row r="13" spans="1:30" x14ac:dyDescent="0.25">
      <c r="A13" t="s">
        <v>183</v>
      </c>
      <c r="B13" t="s">
        <v>10</v>
      </c>
      <c r="C13" t="s">
        <v>236</v>
      </c>
      <c r="D13" t="s">
        <v>31</v>
      </c>
      <c r="E13" t="s">
        <v>31</v>
      </c>
      <c r="F13" t="s">
        <v>25</v>
      </c>
      <c r="G13" t="s">
        <v>36</v>
      </c>
      <c r="H13" t="s">
        <v>36</v>
      </c>
      <c r="I13" t="s">
        <v>31</v>
      </c>
      <c r="J13" t="s">
        <v>25</v>
      </c>
      <c r="K13" t="s">
        <v>36</v>
      </c>
      <c r="L13" t="s">
        <v>36</v>
      </c>
      <c r="M13" t="s">
        <v>269</v>
      </c>
      <c r="N13" t="s">
        <v>239</v>
      </c>
      <c r="Q13" t="s">
        <v>36</v>
      </c>
      <c r="T13" t="s">
        <v>269</v>
      </c>
      <c r="U13" t="s">
        <v>269</v>
      </c>
    </row>
    <row r="14" spans="1:30" x14ac:dyDescent="0.25">
      <c r="A14" t="s">
        <v>184</v>
      </c>
      <c r="B14" t="s">
        <v>10</v>
      </c>
      <c r="C14" t="s">
        <v>25</v>
      </c>
      <c r="D14" t="s">
        <v>36</v>
      </c>
      <c r="E14" t="s">
        <v>36</v>
      </c>
      <c r="F14" t="s">
        <v>25</v>
      </c>
      <c r="G14" t="s">
        <v>36</v>
      </c>
      <c r="H14" t="s">
        <v>36</v>
      </c>
      <c r="I14" t="s">
        <v>25</v>
      </c>
      <c r="J14" t="s">
        <v>25</v>
      </c>
      <c r="K14" t="s">
        <v>36</v>
      </c>
      <c r="L14" t="s">
        <v>36</v>
      </c>
      <c r="M14" t="s">
        <v>247</v>
      </c>
      <c r="N14" t="s">
        <v>36</v>
      </c>
      <c r="Q14" t="s">
        <v>36</v>
      </c>
    </row>
    <row r="15" spans="1:30" x14ac:dyDescent="0.25">
      <c r="A15" t="s">
        <v>185</v>
      </c>
      <c r="B15" t="s">
        <v>10</v>
      </c>
      <c r="C15" t="s">
        <v>236</v>
      </c>
      <c r="D15" t="s">
        <v>31</v>
      </c>
      <c r="E15" t="s">
        <v>31</v>
      </c>
      <c r="F15" t="s">
        <v>25</v>
      </c>
      <c r="G15" t="s">
        <v>36</v>
      </c>
      <c r="H15" t="s">
        <v>36</v>
      </c>
      <c r="I15" t="s">
        <v>31</v>
      </c>
      <c r="J15" t="s">
        <v>25</v>
      </c>
      <c r="K15" t="s">
        <v>36</v>
      </c>
      <c r="L15" t="s">
        <v>36</v>
      </c>
      <c r="M15" t="s">
        <v>270</v>
      </c>
      <c r="N15" t="s">
        <v>240</v>
      </c>
      <c r="Q15" t="s">
        <v>36</v>
      </c>
      <c r="T15" t="s">
        <v>270</v>
      </c>
      <c r="U15" t="s">
        <v>270</v>
      </c>
    </row>
    <row r="16" spans="1:30" x14ac:dyDescent="0.25">
      <c r="A16" t="s">
        <v>186</v>
      </c>
      <c r="B16" t="s">
        <v>10</v>
      </c>
      <c r="C16" t="s">
        <v>236</v>
      </c>
      <c r="D16" t="s">
        <v>31</v>
      </c>
      <c r="E16" t="s">
        <v>249</v>
      </c>
      <c r="F16" t="s">
        <v>25</v>
      </c>
      <c r="G16" t="s">
        <v>36</v>
      </c>
      <c r="H16" t="s">
        <v>36</v>
      </c>
      <c r="I16" t="s">
        <v>31</v>
      </c>
      <c r="J16" t="s">
        <v>25</v>
      </c>
      <c r="K16" t="s">
        <v>36</v>
      </c>
      <c r="L16" t="s">
        <v>36</v>
      </c>
      <c r="M16" t="s">
        <v>271</v>
      </c>
      <c r="N16" t="s">
        <v>241</v>
      </c>
      <c r="Q16" t="s">
        <v>36</v>
      </c>
      <c r="T16" t="s">
        <v>271</v>
      </c>
      <c r="U16" t="s">
        <v>271</v>
      </c>
    </row>
    <row r="17" spans="1:21" x14ac:dyDescent="0.25">
      <c r="A17" t="s">
        <v>187</v>
      </c>
      <c r="B17" t="s">
        <v>10</v>
      </c>
      <c r="C17" t="s">
        <v>236</v>
      </c>
      <c r="D17" t="s">
        <v>31</v>
      </c>
      <c r="E17" t="s">
        <v>31</v>
      </c>
      <c r="F17" t="s">
        <v>25</v>
      </c>
      <c r="G17" t="s">
        <v>36</v>
      </c>
      <c r="H17" t="s">
        <v>36</v>
      </c>
      <c r="I17" t="s">
        <v>31</v>
      </c>
      <c r="J17" t="s">
        <v>25</v>
      </c>
      <c r="K17" t="s">
        <v>36</v>
      </c>
      <c r="L17" t="s">
        <v>36</v>
      </c>
      <c r="M17" t="s">
        <v>272</v>
      </c>
      <c r="N17" t="s">
        <v>242</v>
      </c>
      <c r="Q17" t="s">
        <v>36</v>
      </c>
      <c r="T17" t="s">
        <v>272</v>
      </c>
      <c r="U17" t="s">
        <v>272</v>
      </c>
    </row>
    <row r="18" spans="1:21" x14ac:dyDescent="0.25">
      <c r="A18" t="s">
        <v>188</v>
      </c>
      <c r="B18" t="s">
        <v>10</v>
      </c>
      <c r="C18" t="s">
        <v>236</v>
      </c>
      <c r="D18" t="s">
        <v>31</v>
      </c>
      <c r="E18" t="s">
        <v>249</v>
      </c>
      <c r="F18" t="s">
        <v>25</v>
      </c>
      <c r="G18" t="s">
        <v>36</v>
      </c>
      <c r="H18" t="s">
        <v>36</v>
      </c>
      <c r="I18" t="s">
        <v>31</v>
      </c>
      <c r="J18" t="s">
        <v>25</v>
      </c>
      <c r="K18" t="s">
        <v>36</v>
      </c>
      <c r="L18" t="s">
        <v>36</v>
      </c>
      <c r="M18" t="s">
        <v>273</v>
      </c>
      <c r="N18" t="s">
        <v>243</v>
      </c>
      <c r="Q18" t="s">
        <v>36</v>
      </c>
    </row>
    <row r="19" spans="1:21" x14ac:dyDescent="0.25">
      <c r="M19" t="s">
        <v>252</v>
      </c>
    </row>
  </sheetData>
  <conditionalFormatting sqref="C1:D1048576">
    <cfRule type="cellIs" dxfId="16" priority="1" operator="equal">
      <formula>"No"</formula>
    </cfRule>
  </conditionalFormatting>
  <conditionalFormatting sqref="D1:D1048576">
    <cfRule type="cellIs" dxfId="15" priority="2" operator="equal">
      <formula>"-"</formula>
    </cfRule>
    <cfRule type="cellIs" dxfId="14" priority="3" operator="equal">
      <formula>"??"</formula>
    </cfRule>
    <cfRule type="cellIs" dxfId="13" priority="6" operator="equal">
      <formula>"No?"</formula>
    </cfRule>
  </conditionalFormatting>
  <conditionalFormatting sqref="P1:P1048576">
    <cfRule type="cellIs" dxfId="12" priority="5" operator="equal">
      <formula>1</formula>
    </cfRule>
  </conditionalFormatting>
  <hyperlinks>
    <hyperlink ref="G2" r:id="rId1" xr:uid="{4E25D482-0D0F-4267-8BB8-E582B6EBCA49}"/>
    <hyperlink ref="J2" r:id="rId2" display="https://www.justiz.nrw.de/nrwe/lgs/duesseldorf/lg_duesseldorf/j2016/4b_O_52_14_Schlussurteil_20160119.html" xr:uid="{E1A21BD6-8FDD-469F-BED0-E59A35976D58}"/>
    <hyperlink ref="K2" r:id="rId3" xr:uid="{45A16D24-FD32-4CCF-BC4E-26C02858920F}"/>
    <hyperlink ref="G3" r:id="rId4" xr:uid="{BD90679D-3F1F-43A5-855F-FC333F17DE14}"/>
    <hyperlink ref="K3" r:id="rId5" xr:uid="{5D57B37C-5CC7-4185-BFDE-49F7144A5B33}"/>
    <hyperlink ref="G4" r:id="rId6" xr:uid="{FFB0AE97-79EA-4316-BC3B-C89EA6F0F3CA}"/>
    <hyperlink ref="K4" r:id="rId7" xr:uid="{350FC0D2-DAE3-45F2-82AD-B20A01969BC2}"/>
    <hyperlink ref="G5" r:id="rId8" xr:uid="{2A8AC4F5-50B4-4CB4-9C5F-BF28E4B010BB}"/>
    <hyperlink ref="K5" r:id="rId9" xr:uid="{624FEF37-6942-407F-9BC3-FF005F16E6CF}"/>
  </hyperlinks>
  <pageMargins left="0.7" right="0.7" top="0.75" bottom="0.75" header="0.3" footer="0.3"/>
  <legacyDrawing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39CD6-6CC8-436C-8C6B-6081B303C78F}">
  <dimension ref="A1:AV46"/>
  <sheetViews>
    <sheetView tabSelected="1" topLeftCell="A13" workbookViewId="0">
      <pane xSplit="1" topLeftCell="W1" activePane="topRight" state="frozen"/>
      <selection pane="topRight" activeCell="A42" sqref="A42"/>
    </sheetView>
  </sheetViews>
  <sheetFormatPr defaultRowHeight="15" x14ac:dyDescent="0.25"/>
  <cols>
    <col min="1" max="1" width="12.85546875" bestFit="1" customWidth="1"/>
    <col min="2" max="2" width="11.28515625" bestFit="1" customWidth="1"/>
    <col min="3" max="3" width="9.5703125" bestFit="1" customWidth="1"/>
    <col min="4" max="4" width="38.5703125" bestFit="1" customWidth="1"/>
    <col min="5" max="5" width="26.140625" bestFit="1" customWidth="1"/>
    <col min="6" max="6" width="17.28515625" bestFit="1" customWidth="1"/>
    <col min="7" max="7" width="8.85546875" customWidth="1"/>
    <col min="12" max="12" width="24.42578125" bestFit="1" customWidth="1"/>
    <col min="13" max="13" width="21" bestFit="1" customWidth="1"/>
    <col min="14" max="14" width="10.140625" bestFit="1" customWidth="1"/>
    <col min="15" max="15" width="10.28515625" bestFit="1" customWidth="1"/>
    <col min="17" max="17" width="18" bestFit="1" customWidth="1"/>
    <col min="19" max="19" width="11.28515625" bestFit="1" customWidth="1"/>
    <col min="20" max="20" width="11.28515625" customWidth="1"/>
    <col min="21" max="21" width="16.28515625" bestFit="1" customWidth="1"/>
    <col min="22" max="22" width="38.42578125" style="9" bestFit="1" customWidth="1"/>
    <col min="23" max="23" width="17.7109375" bestFit="1" customWidth="1"/>
    <col min="24" max="24" width="15" bestFit="1" customWidth="1"/>
    <col min="25" max="25" width="17.28515625" bestFit="1" customWidth="1"/>
    <col min="26" max="26" width="25.42578125" bestFit="1" customWidth="1"/>
    <col min="27" max="27" width="21.140625" bestFit="1" customWidth="1"/>
    <col min="28" max="28" width="20" bestFit="1" customWidth="1"/>
    <col min="29" max="29" width="11.7109375" bestFit="1" customWidth="1"/>
    <col min="31" max="31" width="12.140625" bestFit="1" customWidth="1"/>
    <col min="33" max="33" width="10.5703125" bestFit="1" customWidth="1"/>
    <col min="34" max="34" width="18.5703125" bestFit="1" customWidth="1"/>
    <col min="35" max="35" width="11" bestFit="1" customWidth="1"/>
    <col min="36" max="36" width="18.42578125" bestFit="1" customWidth="1"/>
    <col min="37" max="37" width="16.28515625" bestFit="1" customWidth="1"/>
    <col min="38" max="38" width="21.28515625" bestFit="1" customWidth="1"/>
    <col min="39" max="39" width="17.28515625" bestFit="1" customWidth="1"/>
    <col min="40" max="40" width="26.140625" bestFit="1" customWidth="1"/>
    <col min="41" max="41" width="25.28515625" bestFit="1" customWidth="1"/>
    <col min="42" max="42" width="25.7109375" bestFit="1" customWidth="1"/>
    <col min="43" max="43" width="31.7109375" bestFit="1" customWidth="1"/>
    <col min="44" max="44" width="19.140625" bestFit="1" customWidth="1"/>
    <col min="45" max="45" width="18.28515625" bestFit="1" customWidth="1"/>
    <col min="46" max="46" width="10" customWidth="1"/>
  </cols>
  <sheetData>
    <row r="1" spans="1:48" x14ac:dyDescent="0.25">
      <c r="A1" t="s">
        <v>0</v>
      </c>
      <c r="B1" t="s">
        <v>1</v>
      </c>
      <c r="C1" t="s">
        <v>28</v>
      </c>
      <c r="D1" t="s">
        <v>170</v>
      </c>
      <c r="E1" t="s">
        <v>171</v>
      </c>
      <c r="F1" t="s">
        <v>27</v>
      </c>
      <c r="G1" t="s">
        <v>34</v>
      </c>
      <c r="H1" t="s">
        <v>35</v>
      </c>
      <c r="I1" t="s">
        <v>26</v>
      </c>
      <c r="J1" t="s">
        <v>79</v>
      </c>
      <c r="K1" t="s">
        <v>32</v>
      </c>
      <c r="L1" t="s">
        <v>29</v>
      </c>
      <c r="M1" t="s">
        <v>110</v>
      </c>
      <c r="N1" t="s">
        <v>111</v>
      </c>
      <c r="O1" t="s">
        <v>158</v>
      </c>
      <c r="P1" t="s">
        <v>159</v>
      </c>
      <c r="Q1" t="s">
        <v>244</v>
      </c>
      <c r="S1" t="s">
        <v>277</v>
      </c>
      <c r="T1" t="s">
        <v>548</v>
      </c>
      <c r="U1" t="s">
        <v>278</v>
      </c>
      <c r="V1" s="9" t="s">
        <v>315</v>
      </c>
      <c r="W1" t="s">
        <v>279</v>
      </c>
      <c r="X1" t="s">
        <v>281</v>
      </c>
      <c r="Y1" t="s">
        <v>282</v>
      </c>
      <c r="Z1" t="s">
        <v>283</v>
      </c>
      <c r="AA1" t="s">
        <v>284</v>
      </c>
      <c r="AB1" t="s">
        <v>285</v>
      </c>
      <c r="AC1" t="s">
        <v>286</v>
      </c>
      <c r="AD1" t="s">
        <v>316</v>
      </c>
      <c r="AE1" t="s">
        <v>317</v>
      </c>
      <c r="AF1" t="s">
        <v>287</v>
      </c>
      <c r="AG1" t="s">
        <v>288</v>
      </c>
      <c r="AH1" t="s">
        <v>355</v>
      </c>
      <c r="AI1" t="s">
        <v>356</v>
      </c>
      <c r="AJ1" t="s">
        <v>349</v>
      </c>
      <c r="AK1" t="s">
        <v>357</v>
      </c>
      <c r="AL1" t="s">
        <v>359</v>
      </c>
      <c r="AM1" t="s">
        <v>353</v>
      </c>
      <c r="AN1" t="s">
        <v>360</v>
      </c>
      <c r="AO1" t="s">
        <v>350</v>
      </c>
      <c r="AP1" t="s">
        <v>351</v>
      </c>
      <c r="AQ1" t="s">
        <v>426</v>
      </c>
      <c r="AR1" t="s">
        <v>427</v>
      </c>
      <c r="AS1" t="s">
        <v>428</v>
      </c>
      <c r="AT1" t="s">
        <v>32</v>
      </c>
      <c r="AU1" t="s">
        <v>352</v>
      </c>
      <c r="AV1" t="s">
        <v>401</v>
      </c>
    </row>
    <row r="2" spans="1:48" x14ac:dyDescent="0.25">
      <c r="A2" t="s">
        <v>68</v>
      </c>
      <c r="B2" t="s">
        <v>2</v>
      </c>
      <c r="C2" t="s">
        <v>31</v>
      </c>
      <c r="D2" t="s">
        <v>31</v>
      </c>
      <c r="E2" t="s">
        <v>31</v>
      </c>
      <c r="F2" t="s">
        <v>25</v>
      </c>
      <c r="G2" t="s">
        <v>36</v>
      </c>
      <c r="H2" t="s">
        <v>36</v>
      </c>
      <c r="I2" t="s">
        <v>31</v>
      </c>
      <c r="J2" t="s">
        <v>31</v>
      </c>
      <c r="K2" s="1" t="s">
        <v>33</v>
      </c>
      <c r="L2" t="s">
        <v>30</v>
      </c>
      <c r="M2" t="s">
        <v>319</v>
      </c>
      <c r="N2" s="6" t="s">
        <v>113</v>
      </c>
      <c r="O2">
        <v>1</v>
      </c>
      <c r="Q2">
        <v>500000</v>
      </c>
      <c r="S2" t="s">
        <v>290</v>
      </c>
      <c r="U2" t="s">
        <v>289</v>
      </c>
      <c r="V2" s="9" t="s">
        <v>289</v>
      </c>
      <c r="W2" t="s">
        <v>290</v>
      </c>
      <c r="X2" t="s">
        <v>113</v>
      </c>
      <c r="Y2" t="s">
        <v>31</v>
      </c>
      <c r="Z2" t="s">
        <v>25</v>
      </c>
      <c r="AA2" t="s">
        <v>31</v>
      </c>
      <c r="AB2" t="s">
        <v>25</v>
      </c>
      <c r="AC2" t="s">
        <v>36</v>
      </c>
      <c r="AD2" t="s">
        <v>36</v>
      </c>
      <c r="AE2" t="s">
        <v>36</v>
      </c>
      <c r="AF2" s="22" t="s">
        <v>31</v>
      </c>
      <c r="AG2" t="s">
        <v>31</v>
      </c>
      <c r="AH2" t="s">
        <v>31</v>
      </c>
      <c r="AI2" t="s">
        <v>31</v>
      </c>
      <c r="AJ2" t="s">
        <v>354</v>
      </c>
      <c r="AK2" t="s">
        <v>31</v>
      </c>
      <c r="AL2" t="s">
        <v>358</v>
      </c>
      <c r="AM2" t="s">
        <v>31</v>
      </c>
      <c r="AN2" t="s">
        <v>354</v>
      </c>
      <c r="AO2" t="s">
        <v>31</v>
      </c>
      <c r="AP2" t="s">
        <v>422</v>
      </c>
      <c r="AQ2" t="s">
        <v>429</v>
      </c>
      <c r="AR2" t="s">
        <v>430</v>
      </c>
      <c r="AS2" t="s">
        <v>489</v>
      </c>
      <c r="AT2" s="1" t="s">
        <v>431</v>
      </c>
      <c r="AU2" t="s">
        <v>361</v>
      </c>
      <c r="AV2" t="s">
        <v>402</v>
      </c>
    </row>
    <row r="3" spans="1:48" x14ac:dyDescent="0.25">
      <c r="A3" t="s">
        <v>70</v>
      </c>
      <c r="B3" t="s">
        <v>2</v>
      </c>
      <c r="C3" t="s">
        <v>31</v>
      </c>
      <c r="D3" t="s">
        <v>31</v>
      </c>
      <c r="E3" t="s">
        <v>31</v>
      </c>
      <c r="F3" t="s">
        <v>25</v>
      </c>
      <c r="G3" t="s">
        <v>36</v>
      </c>
      <c r="H3" t="s">
        <v>36</v>
      </c>
      <c r="I3" t="s">
        <v>31</v>
      </c>
      <c r="J3" t="s">
        <v>31</v>
      </c>
      <c r="K3" s="1" t="s">
        <v>40</v>
      </c>
      <c r="L3" t="s">
        <v>39</v>
      </c>
      <c r="M3" t="s">
        <v>116</v>
      </c>
      <c r="N3" s="8" t="s">
        <v>117</v>
      </c>
      <c r="O3">
        <v>1</v>
      </c>
      <c r="Q3">
        <v>2000000</v>
      </c>
      <c r="S3" t="s">
        <v>320</v>
      </c>
      <c r="U3" s="11" t="s">
        <v>293</v>
      </c>
      <c r="V3" s="9" t="s">
        <v>293</v>
      </c>
      <c r="W3" t="s">
        <v>321</v>
      </c>
      <c r="X3" s="8" t="s">
        <v>117</v>
      </c>
      <c r="Y3" t="s">
        <v>31</v>
      </c>
      <c r="Z3" t="s">
        <v>25</v>
      </c>
      <c r="AA3" t="s">
        <v>31</v>
      </c>
      <c r="AB3" t="s">
        <v>25</v>
      </c>
      <c r="AC3" t="s">
        <v>31</v>
      </c>
      <c r="AD3" t="s">
        <v>31</v>
      </c>
      <c r="AE3" t="s">
        <v>31</v>
      </c>
      <c r="AF3" s="22" t="s">
        <v>31</v>
      </c>
      <c r="AG3" t="s">
        <v>31</v>
      </c>
      <c r="AH3" t="s">
        <v>31</v>
      </c>
      <c r="AI3" t="s">
        <v>31</v>
      </c>
      <c r="AJ3" t="s">
        <v>363</v>
      </c>
      <c r="AK3" t="s">
        <v>25</v>
      </c>
      <c r="AL3" t="s">
        <v>36</v>
      </c>
      <c r="AM3" t="s">
        <v>25</v>
      </c>
      <c r="AN3" t="s">
        <v>36</v>
      </c>
      <c r="AO3" s="18" t="s">
        <v>31</v>
      </c>
      <c r="AP3" t="s">
        <v>36</v>
      </c>
      <c r="AQ3" s="18" t="s">
        <v>577</v>
      </c>
      <c r="AR3" t="s">
        <v>36</v>
      </c>
      <c r="AS3" s="18" t="s">
        <v>559</v>
      </c>
      <c r="AT3" t="s">
        <v>36</v>
      </c>
      <c r="AU3" t="s">
        <v>362</v>
      </c>
      <c r="AV3" t="s">
        <v>403</v>
      </c>
    </row>
    <row r="4" spans="1:48" x14ac:dyDescent="0.25">
      <c r="A4" t="s">
        <v>3</v>
      </c>
      <c r="B4" t="s">
        <v>2</v>
      </c>
      <c r="C4" t="s">
        <v>31</v>
      </c>
      <c r="D4" t="s">
        <v>31</v>
      </c>
      <c r="E4" t="s">
        <v>31</v>
      </c>
      <c r="F4" t="s">
        <v>31</v>
      </c>
      <c r="G4" s="1" t="s">
        <v>41</v>
      </c>
      <c r="H4" s="1" t="s">
        <v>42</v>
      </c>
      <c r="I4" t="s">
        <v>31</v>
      </c>
      <c r="J4" t="s">
        <v>31</v>
      </c>
      <c r="K4" s="1" t="s">
        <v>43</v>
      </c>
      <c r="L4" t="s">
        <v>36</v>
      </c>
      <c r="M4" t="s">
        <v>116</v>
      </c>
      <c r="N4" t="s">
        <v>117</v>
      </c>
      <c r="O4">
        <v>1</v>
      </c>
      <c r="Q4">
        <v>2000000</v>
      </c>
      <c r="S4" t="s">
        <v>320</v>
      </c>
      <c r="U4" t="s">
        <v>116</v>
      </c>
      <c r="V4" s="9" t="s">
        <v>116</v>
      </c>
      <c r="W4" t="s">
        <v>321</v>
      </c>
      <c r="X4" t="s">
        <v>117</v>
      </c>
      <c r="Y4" t="s">
        <v>31</v>
      </c>
      <c r="Z4" t="s">
        <v>25</v>
      </c>
      <c r="AA4" t="s">
        <v>31</v>
      </c>
      <c r="AB4" t="s">
        <v>25</v>
      </c>
      <c r="AC4" t="s">
        <v>31</v>
      </c>
      <c r="AD4" t="s">
        <v>31</v>
      </c>
      <c r="AE4" t="s">
        <v>31</v>
      </c>
      <c r="AF4" s="22" t="s">
        <v>31</v>
      </c>
      <c r="AG4" t="s">
        <v>31</v>
      </c>
      <c r="AH4" t="s">
        <v>31</v>
      </c>
      <c r="AI4" t="s">
        <v>31</v>
      </c>
      <c r="AJ4" t="s">
        <v>363</v>
      </c>
      <c r="AK4" t="s">
        <v>25</v>
      </c>
      <c r="AL4" t="s">
        <v>36</v>
      </c>
      <c r="AM4" t="s">
        <v>25</v>
      </c>
      <c r="AN4" t="s">
        <v>36</v>
      </c>
      <c r="AO4" t="s">
        <v>31</v>
      </c>
      <c r="AP4" t="s">
        <v>422</v>
      </c>
      <c r="AQ4" t="s">
        <v>432</v>
      </c>
      <c r="AR4" t="s">
        <v>300</v>
      </c>
      <c r="AS4" t="s">
        <v>488</v>
      </c>
      <c r="AT4" s="1" t="s">
        <v>433</v>
      </c>
      <c r="AU4" t="s">
        <v>364</v>
      </c>
      <c r="AV4" t="s">
        <v>403</v>
      </c>
    </row>
    <row r="5" spans="1:48" x14ac:dyDescent="0.25">
      <c r="A5" t="s">
        <v>71</v>
      </c>
      <c r="B5" t="s">
        <v>2</v>
      </c>
      <c r="C5" t="s">
        <v>31</v>
      </c>
      <c r="D5" t="s">
        <v>31</v>
      </c>
      <c r="E5" t="s">
        <v>25</v>
      </c>
      <c r="F5" t="s">
        <v>31</v>
      </c>
      <c r="G5" s="2" t="s">
        <v>45</v>
      </c>
      <c r="H5" s="1" t="s">
        <v>46</v>
      </c>
      <c r="I5" t="s">
        <v>31</v>
      </c>
      <c r="J5" t="s">
        <v>31</v>
      </c>
      <c r="K5" s="1" t="s">
        <v>47</v>
      </c>
      <c r="L5" t="s">
        <v>36</v>
      </c>
      <c r="M5" t="s">
        <v>118</v>
      </c>
      <c r="N5" s="6" t="s">
        <v>119</v>
      </c>
      <c r="Q5">
        <v>1000000</v>
      </c>
      <c r="S5" t="s">
        <v>318</v>
      </c>
      <c r="U5" t="s">
        <v>294</v>
      </c>
      <c r="V5" s="9" t="s">
        <v>318</v>
      </c>
      <c r="W5" t="s">
        <v>318</v>
      </c>
      <c r="X5" s="6" t="s">
        <v>119</v>
      </c>
      <c r="Y5" t="s">
        <v>31</v>
      </c>
      <c r="Z5" s="22" t="s">
        <v>31</v>
      </c>
      <c r="AA5" t="s">
        <v>31</v>
      </c>
      <c r="AB5" t="s">
        <v>31</v>
      </c>
      <c r="AC5" t="s">
        <v>25</v>
      </c>
      <c r="AD5" t="s">
        <v>25</v>
      </c>
      <c r="AE5" t="s">
        <v>36</v>
      </c>
      <c r="AF5" t="s">
        <v>247</v>
      </c>
      <c r="AG5" t="s">
        <v>31</v>
      </c>
      <c r="AH5" t="s">
        <v>25</v>
      </c>
      <c r="AI5" t="s">
        <v>25</v>
      </c>
      <c r="AJ5" t="s">
        <v>36</v>
      </c>
      <c r="AK5" t="s">
        <v>25</v>
      </c>
      <c r="AL5" t="s">
        <v>36</v>
      </c>
      <c r="AM5" t="s">
        <v>25</v>
      </c>
      <c r="AN5" t="s">
        <v>36</v>
      </c>
      <c r="AO5" t="s">
        <v>31</v>
      </c>
      <c r="AP5" t="s">
        <v>422</v>
      </c>
      <c r="AQ5" t="s">
        <v>429</v>
      </c>
      <c r="AR5" t="s">
        <v>430</v>
      </c>
      <c r="AS5" t="s">
        <v>489</v>
      </c>
      <c r="AT5" s="1" t="s">
        <v>431</v>
      </c>
      <c r="AU5" t="s">
        <v>361</v>
      </c>
      <c r="AV5" t="s">
        <v>402</v>
      </c>
    </row>
    <row r="6" spans="1:48" x14ac:dyDescent="0.25">
      <c r="A6" t="s">
        <v>72</v>
      </c>
      <c r="B6" t="s">
        <v>2</v>
      </c>
      <c r="C6" t="s">
        <v>31</v>
      </c>
      <c r="D6" t="s">
        <v>31</v>
      </c>
      <c r="E6" t="s">
        <v>25</v>
      </c>
      <c r="F6" t="s">
        <v>25</v>
      </c>
      <c r="G6" t="s">
        <v>36</v>
      </c>
      <c r="H6" t="s">
        <v>36</v>
      </c>
      <c r="I6" t="s">
        <v>31</v>
      </c>
      <c r="J6" t="s">
        <v>31</v>
      </c>
      <c r="K6" s="1" t="s">
        <v>48</v>
      </c>
      <c r="L6" t="s">
        <v>36</v>
      </c>
      <c r="M6" t="s">
        <v>118</v>
      </c>
      <c r="N6" s="6" t="s">
        <v>119</v>
      </c>
      <c r="Q6">
        <v>1000000</v>
      </c>
      <c r="S6" t="s">
        <v>318</v>
      </c>
      <c r="U6" t="s">
        <v>295</v>
      </c>
      <c r="V6" s="9" t="s">
        <v>295</v>
      </c>
      <c r="W6" t="s">
        <v>318</v>
      </c>
      <c r="X6" s="6" t="s">
        <v>119</v>
      </c>
      <c r="Y6" t="s">
        <v>31</v>
      </c>
      <c r="Z6" s="22" t="s">
        <v>31</v>
      </c>
      <c r="AA6" t="s">
        <v>31</v>
      </c>
      <c r="AB6" t="s">
        <v>31</v>
      </c>
      <c r="AC6" t="s">
        <v>25</v>
      </c>
      <c r="AD6" t="s">
        <v>25</v>
      </c>
      <c r="AE6" t="s">
        <v>36</v>
      </c>
      <c r="AF6" t="s">
        <v>247</v>
      </c>
      <c r="AG6" t="s">
        <v>31</v>
      </c>
      <c r="AH6" t="s">
        <v>25</v>
      </c>
      <c r="AI6" t="s">
        <v>25</v>
      </c>
      <c r="AJ6" t="s">
        <v>36</v>
      </c>
      <c r="AK6" t="s">
        <v>25</v>
      </c>
      <c r="AL6" t="s">
        <v>36</v>
      </c>
      <c r="AM6" t="s">
        <v>25</v>
      </c>
      <c r="AN6" t="s">
        <v>36</v>
      </c>
      <c r="AO6" t="s">
        <v>31</v>
      </c>
      <c r="AP6" t="s">
        <v>422</v>
      </c>
      <c r="AQ6" t="s">
        <v>429</v>
      </c>
      <c r="AR6" t="s">
        <v>430</v>
      </c>
      <c r="AS6" t="s">
        <v>489</v>
      </c>
      <c r="AT6" s="1" t="s">
        <v>431</v>
      </c>
      <c r="AU6" t="s">
        <v>361</v>
      </c>
      <c r="AV6" t="s">
        <v>405</v>
      </c>
    </row>
    <row r="7" spans="1:48" x14ac:dyDescent="0.25">
      <c r="A7" t="s">
        <v>73</v>
      </c>
      <c r="B7" t="s">
        <v>2</v>
      </c>
      <c r="C7" t="s">
        <v>31</v>
      </c>
      <c r="D7" t="s">
        <v>31</v>
      </c>
      <c r="E7" t="s">
        <v>25</v>
      </c>
      <c r="F7" t="s">
        <v>25</v>
      </c>
      <c r="G7" t="s">
        <v>36</v>
      </c>
      <c r="H7" t="s">
        <v>36</v>
      </c>
      <c r="I7" t="s">
        <v>31</v>
      </c>
      <c r="J7" t="s">
        <v>31</v>
      </c>
      <c r="K7" s="1" t="s">
        <v>49</v>
      </c>
      <c r="L7" t="s">
        <v>36</v>
      </c>
      <c r="M7" s="3" t="s">
        <v>120</v>
      </c>
      <c r="N7" s="6" t="s">
        <v>121</v>
      </c>
      <c r="Q7">
        <v>4000000</v>
      </c>
      <c r="S7" t="s">
        <v>322</v>
      </c>
      <c r="U7" t="s">
        <v>296</v>
      </c>
      <c r="V7" s="9" t="s">
        <v>296</v>
      </c>
      <c r="W7" t="s">
        <v>322</v>
      </c>
      <c r="X7" s="6" t="s">
        <v>121</v>
      </c>
      <c r="Y7" t="s">
        <v>31</v>
      </c>
      <c r="Z7" t="s">
        <v>31</v>
      </c>
      <c r="AA7" t="s">
        <v>31</v>
      </c>
      <c r="AB7" t="s">
        <v>31</v>
      </c>
      <c r="AC7" t="s">
        <v>25</v>
      </c>
      <c r="AD7" t="s">
        <v>248</v>
      </c>
      <c r="AE7" t="s">
        <v>25</v>
      </c>
      <c r="AF7" t="s">
        <v>247</v>
      </c>
      <c r="AG7" t="s">
        <v>247</v>
      </c>
      <c r="AH7" s="6" t="s">
        <v>25</v>
      </c>
      <c r="AI7" s="6" t="s">
        <v>25</v>
      </c>
      <c r="AJ7" s="6" t="s">
        <v>36</v>
      </c>
      <c r="AK7" s="6" t="s">
        <v>25</v>
      </c>
      <c r="AL7" s="6" t="s">
        <v>36</v>
      </c>
      <c r="AM7" s="6" t="s">
        <v>25</v>
      </c>
      <c r="AN7" s="6" t="s">
        <v>36</v>
      </c>
      <c r="AO7" s="6" t="s">
        <v>31</v>
      </c>
      <c r="AP7" s="6" t="s">
        <v>423</v>
      </c>
      <c r="AQ7" s="6" t="s">
        <v>435</v>
      </c>
      <c r="AR7" s="6" t="s">
        <v>434</v>
      </c>
      <c r="AS7" s="6" t="s">
        <v>487</v>
      </c>
      <c r="AT7" s="1" t="s">
        <v>436</v>
      </c>
      <c r="AU7" s="6" t="s">
        <v>365</v>
      </c>
      <c r="AV7" s="6" t="s">
        <v>406</v>
      </c>
    </row>
    <row r="8" spans="1:48" x14ac:dyDescent="0.25">
      <c r="A8" t="s">
        <v>74</v>
      </c>
      <c r="B8" t="s">
        <v>2</v>
      </c>
      <c r="C8" t="s">
        <v>31</v>
      </c>
      <c r="D8" t="s">
        <v>31</v>
      </c>
      <c r="E8" t="s">
        <v>25</v>
      </c>
      <c r="F8" t="s">
        <v>25</v>
      </c>
      <c r="G8" t="s">
        <v>36</v>
      </c>
      <c r="H8" t="s">
        <v>36</v>
      </c>
      <c r="I8" t="s">
        <v>31</v>
      </c>
      <c r="J8" t="s">
        <v>31</v>
      </c>
      <c r="K8" s="1" t="s">
        <v>50</v>
      </c>
      <c r="L8" t="s">
        <v>36</v>
      </c>
      <c r="M8" t="s">
        <v>122</v>
      </c>
      <c r="N8" s="6" t="s">
        <v>121</v>
      </c>
      <c r="Q8">
        <v>4000000</v>
      </c>
      <c r="S8" t="s">
        <v>322</v>
      </c>
      <c r="U8" t="s">
        <v>297</v>
      </c>
      <c r="V8" s="9" t="s">
        <v>297</v>
      </c>
      <c r="W8" t="s">
        <v>322</v>
      </c>
      <c r="X8" s="6" t="s">
        <v>121</v>
      </c>
      <c r="Y8" t="s">
        <v>31</v>
      </c>
      <c r="Z8" t="s">
        <v>31</v>
      </c>
      <c r="AA8" t="s">
        <v>31</v>
      </c>
      <c r="AB8" t="s">
        <v>31</v>
      </c>
      <c r="AC8" t="s">
        <v>25</v>
      </c>
      <c r="AD8" t="s">
        <v>248</v>
      </c>
      <c r="AE8" t="s">
        <v>25</v>
      </c>
      <c r="AF8" t="s">
        <v>247</v>
      </c>
      <c r="AG8" t="s">
        <v>247</v>
      </c>
      <c r="AH8" s="6" t="s">
        <v>25</v>
      </c>
      <c r="AI8" s="6" t="s">
        <v>25</v>
      </c>
      <c r="AJ8" s="6" t="s">
        <v>36</v>
      </c>
      <c r="AK8" s="6" t="s">
        <v>25</v>
      </c>
      <c r="AL8" s="6" t="s">
        <v>36</v>
      </c>
      <c r="AM8" s="6" t="s">
        <v>25</v>
      </c>
      <c r="AN8" s="6" t="s">
        <v>36</v>
      </c>
      <c r="AO8" s="6" t="s">
        <v>31</v>
      </c>
      <c r="AP8" s="6" t="s">
        <v>423</v>
      </c>
      <c r="AQ8" s="6" t="s">
        <v>435</v>
      </c>
      <c r="AR8" s="6" t="s">
        <v>434</v>
      </c>
      <c r="AS8" s="6" t="s">
        <v>487</v>
      </c>
      <c r="AT8" s="1" t="s">
        <v>436</v>
      </c>
      <c r="AU8" s="6" t="s">
        <v>366</v>
      </c>
      <c r="AV8" s="6" t="s">
        <v>407</v>
      </c>
    </row>
    <row r="9" spans="1:48" x14ac:dyDescent="0.25">
      <c r="A9" t="s">
        <v>75</v>
      </c>
      <c r="B9" t="s">
        <v>2</v>
      </c>
      <c r="C9" t="s">
        <v>31</v>
      </c>
      <c r="D9" t="s">
        <v>31</v>
      </c>
      <c r="E9" t="s">
        <v>31</v>
      </c>
      <c r="F9" t="s">
        <v>31</v>
      </c>
      <c r="G9" s="2" t="s">
        <v>53</v>
      </c>
      <c r="H9" s="2" t="s">
        <v>54</v>
      </c>
      <c r="I9" t="s">
        <v>31</v>
      </c>
      <c r="J9" t="s">
        <v>31</v>
      </c>
      <c r="K9" s="1" t="s">
        <v>51</v>
      </c>
      <c r="L9" t="s">
        <v>36</v>
      </c>
      <c r="M9" t="s">
        <v>123</v>
      </c>
      <c r="N9" s="6" t="s">
        <v>124</v>
      </c>
      <c r="Q9">
        <v>2500000</v>
      </c>
      <c r="S9" t="s">
        <v>323</v>
      </c>
      <c r="U9" t="s">
        <v>299</v>
      </c>
      <c r="V9" s="9" t="s">
        <v>299</v>
      </c>
      <c r="W9" t="s">
        <v>323</v>
      </c>
      <c r="X9" s="6" t="s">
        <v>124</v>
      </c>
      <c r="Y9" t="s">
        <v>31</v>
      </c>
      <c r="Z9" t="s">
        <v>25</v>
      </c>
      <c r="AA9" t="s">
        <v>31</v>
      </c>
      <c r="AB9" t="s">
        <v>31</v>
      </c>
      <c r="AC9" t="s">
        <v>31</v>
      </c>
      <c r="AD9" t="s">
        <v>31</v>
      </c>
      <c r="AE9" t="s">
        <v>31</v>
      </c>
      <c r="AF9" t="s">
        <v>31</v>
      </c>
      <c r="AG9" t="s">
        <v>31</v>
      </c>
      <c r="AH9" s="6" t="s">
        <v>25</v>
      </c>
      <c r="AI9" s="6" t="s">
        <v>25</v>
      </c>
      <c r="AJ9" s="6" t="s">
        <v>36</v>
      </c>
      <c r="AK9" s="6" t="s">
        <v>25</v>
      </c>
      <c r="AL9" s="6" t="s">
        <v>36</v>
      </c>
      <c r="AM9" s="6" t="s">
        <v>25</v>
      </c>
      <c r="AN9" s="6" t="s">
        <v>36</v>
      </c>
      <c r="AO9" s="6" t="s">
        <v>25</v>
      </c>
      <c r="AP9" s="6" t="s">
        <v>36</v>
      </c>
      <c r="AQ9" s="6" t="s">
        <v>36</v>
      </c>
      <c r="AR9" s="6" t="s">
        <v>36</v>
      </c>
      <c r="AS9" s="6" t="s">
        <v>36</v>
      </c>
      <c r="AT9" s="6" t="s">
        <v>36</v>
      </c>
      <c r="AU9" s="6" t="s">
        <v>367</v>
      </c>
      <c r="AV9" s="6" t="s">
        <v>36</v>
      </c>
    </row>
    <row r="10" spans="1:48" x14ac:dyDescent="0.25">
      <c r="A10" t="s">
        <v>4</v>
      </c>
      <c r="B10" t="s">
        <v>2</v>
      </c>
      <c r="C10" t="s">
        <v>31</v>
      </c>
      <c r="D10" t="s">
        <v>31</v>
      </c>
      <c r="E10" t="s">
        <v>31</v>
      </c>
      <c r="F10" t="s">
        <v>25</v>
      </c>
      <c r="G10" t="s">
        <v>36</v>
      </c>
      <c r="H10" t="s">
        <v>36</v>
      </c>
      <c r="I10" t="s">
        <v>31</v>
      </c>
      <c r="J10" t="s">
        <v>31</v>
      </c>
      <c r="K10" s="2" t="s">
        <v>55</v>
      </c>
      <c r="L10" t="s">
        <v>36</v>
      </c>
      <c r="M10" t="s">
        <v>125</v>
      </c>
      <c r="N10" s="6" t="s">
        <v>126</v>
      </c>
      <c r="Q10" t="s">
        <v>245</v>
      </c>
      <c r="S10" s="19" t="s">
        <v>549</v>
      </c>
      <c r="T10" s="19" t="s">
        <v>549</v>
      </c>
      <c r="U10" t="s">
        <v>300</v>
      </c>
      <c r="V10" s="19" t="s">
        <v>324</v>
      </c>
      <c r="W10" s="11" t="s">
        <v>324</v>
      </c>
      <c r="X10" s="6" t="s">
        <v>126</v>
      </c>
      <c r="Y10" t="s">
        <v>31</v>
      </c>
      <c r="Z10" t="s">
        <v>25</v>
      </c>
      <c r="AA10" t="s">
        <v>31</v>
      </c>
      <c r="AB10" t="s">
        <v>31</v>
      </c>
      <c r="AC10" t="s">
        <v>31</v>
      </c>
      <c r="AD10" t="s">
        <v>31</v>
      </c>
      <c r="AE10" t="s">
        <v>31</v>
      </c>
      <c r="AF10" t="s">
        <v>31</v>
      </c>
      <c r="AG10" t="s">
        <v>31</v>
      </c>
      <c r="AH10" s="6" t="s">
        <v>25</v>
      </c>
      <c r="AI10" s="6" t="s">
        <v>25</v>
      </c>
      <c r="AJ10" s="6" t="s">
        <v>36</v>
      </c>
      <c r="AK10" s="6" t="s">
        <v>25</v>
      </c>
      <c r="AL10" s="6" t="s">
        <v>36</v>
      </c>
      <c r="AM10" s="6" t="s">
        <v>25</v>
      </c>
      <c r="AN10" s="6" t="s">
        <v>36</v>
      </c>
      <c r="AO10" s="23" t="s">
        <v>31</v>
      </c>
      <c r="AP10" s="6" t="s">
        <v>36</v>
      </c>
      <c r="AQ10" s="23" t="s">
        <v>586</v>
      </c>
      <c r="AR10" s="6" t="s">
        <v>36</v>
      </c>
      <c r="AS10" s="23" t="s">
        <v>587</v>
      </c>
      <c r="AT10" s="6" t="s">
        <v>36</v>
      </c>
      <c r="AU10" s="6" t="s">
        <v>368</v>
      </c>
      <c r="AV10" s="6" t="s">
        <v>36</v>
      </c>
    </row>
    <row r="11" spans="1:48" x14ac:dyDescent="0.25">
      <c r="A11" t="s">
        <v>76</v>
      </c>
      <c r="B11" t="s">
        <v>2</v>
      </c>
      <c r="C11" t="s">
        <v>31</v>
      </c>
      <c r="D11" t="s">
        <v>31</v>
      </c>
      <c r="E11" t="s">
        <v>31</v>
      </c>
      <c r="F11" t="s">
        <v>31</v>
      </c>
      <c r="G11" s="2" t="s">
        <v>56</v>
      </c>
      <c r="H11" s="2" t="s">
        <v>57</v>
      </c>
      <c r="I11" t="s">
        <v>31</v>
      </c>
      <c r="J11" t="s">
        <v>31</v>
      </c>
      <c r="K11" s="1" t="s">
        <v>52</v>
      </c>
      <c r="L11" t="s">
        <v>36</v>
      </c>
      <c r="M11" t="s">
        <v>127</v>
      </c>
      <c r="N11" s="6" t="s">
        <v>124</v>
      </c>
      <c r="Q11">
        <v>5000000</v>
      </c>
      <c r="S11" t="s">
        <v>324</v>
      </c>
      <c r="U11" t="s">
        <v>301</v>
      </c>
      <c r="V11" s="9" t="s">
        <v>301</v>
      </c>
      <c r="W11" t="s">
        <v>324</v>
      </c>
      <c r="X11" s="6" t="s">
        <v>124</v>
      </c>
      <c r="Y11" t="s">
        <v>31</v>
      </c>
      <c r="Z11" t="s">
        <v>25</v>
      </c>
      <c r="AA11" t="s">
        <v>31</v>
      </c>
      <c r="AB11" t="s">
        <v>31</v>
      </c>
      <c r="AC11" t="s">
        <v>31</v>
      </c>
      <c r="AD11" t="s">
        <v>31</v>
      </c>
      <c r="AE11" t="s">
        <v>31</v>
      </c>
      <c r="AF11" t="s">
        <v>31</v>
      </c>
      <c r="AG11" t="s">
        <v>31</v>
      </c>
      <c r="AH11" s="6" t="s">
        <v>31</v>
      </c>
      <c r="AI11" s="6" t="s">
        <v>31</v>
      </c>
      <c r="AJ11" s="6" t="s">
        <v>370</v>
      </c>
      <c r="AK11" s="6" t="s">
        <v>25</v>
      </c>
      <c r="AL11" s="6" t="s">
        <v>36</v>
      </c>
      <c r="AM11" s="6" t="s">
        <v>25</v>
      </c>
      <c r="AN11" s="6" t="s">
        <v>36</v>
      </c>
      <c r="AO11" s="23" t="s">
        <v>31</v>
      </c>
      <c r="AP11" s="6" t="s">
        <v>36</v>
      </c>
      <c r="AQ11" s="23" t="s">
        <v>588</v>
      </c>
      <c r="AR11" s="6" t="s">
        <v>36</v>
      </c>
      <c r="AS11" s="23" t="s">
        <v>560</v>
      </c>
      <c r="AT11" s="6" t="s">
        <v>36</v>
      </c>
      <c r="AU11" s="6" t="s">
        <v>369</v>
      </c>
      <c r="AV11" s="6" t="s">
        <v>408</v>
      </c>
    </row>
    <row r="12" spans="1:48" x14ac:dyDescent="0.25">
      <c r="A12" t="s">
        <v>77</v>
      </c>
      <c r="B12" t="s">
        <v>2</v>
      </c>
      <c r="C12" t="s">
        <v>31</v>
      </c>
      <c r="D12" t="s">
        <v>31</v>
      </c>
      <c r="E12" t="s">
        <v>25</v>
      </c>
      <c r="F12" t="s">
        <v>31</v>
      </c>
      <c r="G12" s="1" t="s">
        <v>58</v>
      </c>
      <c r="H12" s="1" t="s">
        <v>59</v>
      </c>
      <c r="I12" t="s">
        <v>31</v>
      </c>
      <c r="J12" t="s">
        <v>31</v>
      </c>
      <c r="K12" s="1" t="s">
        <v>60</v>
      </c>
      <c r="L12" t="s">
        <v>36</v>
      </c>
      <c r="M12" t="s">
        <v>128</v>
      </c>
      <c r="N12" t="s">
        <v>121</v>
      </c>
      <c r="Q12">
        <v>4000000</v>
      </c>
      <c r="S12" t="s">
        <v>325</v>
      </c>
      <c r="U12" t="s">
        <v>298</v>
      </c>
      <c r="V12" s="9" t="s">
        <v>298</v>
      </c>
      <c r="W12" s="11" t="s">
        <v>326</v>
      </c>
      <c r="X12" t="s">
        <v>121</v>
      </c>
      <c r="Y12" t="s">
        <v>31</v>
      </c>
      <c r="Z12" s="22" t="s">
        <v>31</v>
      </c>
      <c r="AA12" t="s">
        <v>31</v>
      </c>
      <c r="AB12" t="s">
        <v>31</v>
      </c>
      <c r="AC12" t="s">
        <v>25</v>
      </c>
      <c r="AD12" t="s">
        <v>248</v>
      </c>
      <c r="AE12" t="s">
        <v>25</v>
      </c>
      <c r="AF12" t="s">
        <v>247</v>
      </c>
      <c r="AG12" t="s">
        <v>247</v>
      </c>
      <c r="AH12" s="6" t="s">
        <v>31</v>
      </c>
      <c r="AI12" s="6" t="s">
        <v>44</v>
      </c>
      <c r="AJ12" s="6" t="s">
        <v>371</v>
      </c>
      <c r="AK12" s="6" t="s">
        <v>25</v>
      </c>
      <c r="AL12" s="6" t="s">
        <v>36</v>
      </c>
      <c r="AM12" s="6" t="s">
        <v>25</v>
      </c>
      <c r="AN12" s="6" t="s">
        <v>36</v>
      </c>
      <c r="AO12" s="6" t="s">
        <v>31</v>
      </c>
      <c r="AP12" s="6" t="s">
        <v>423</v>
      </c>
      <c r="AQ12" s="6" t="s">
        <v>435</v>
      </c>
      <c r="AR12" s="6" t="s">
        <v>434</v>
      </c>
      <c r="AS12" s="6" t="s">
        <v>487</v>
      </c>
      <c r="AT12" s="1" t="s">
        <v>436</v>
      </c>
      <c r="AU12" s="6" t="s">
        <v>365</v>
      </c>
      <c r="AV12" s="6" t="s">
        <v>406</v>
      </c>
    </row>
    <row r="13" spans="1:48" x14ac:dyDescent="0.25">
      <c r="A13" t="s">
        <v>78</v>
      </c>
      <c r="B13" t="s">
        <v>2</v>
      </c>
      <c r="C13" t="s">
        <v>31</v>
      </c>
      <c r="D13" t="s">
        <v>31</v>
      </c>
      <c r="E13" t="s">
        <v>31</v>
      </c>
      <c r="F13" t="s">
        <v>25</v>
      </c>
      <c r="G13" t="s">
        <v>36</v>
      </c>
      <c r="H13" t="s">
        <v>36</v>
      </c>
      <c r="I13" t="s">
        <v>31</v>
      </c>
      <c r="J13" t="s">
        <v>31</v>
      </c>
      <c r="K13" s="1" t="s">
        <v>61</v>
      </c>
      <c r="L13" t="s">
        <v>36</v>
      </c>
      <c r="M13" t="s">
        <v>125</v>
      </c>
      <c r="N13" t="s">
        <v>129</v>
      </c>
      <c r="Q13" t="s">
        <v>246</v>
      </c>
      <c r="S13" t="s">
        <v>324</v>
      </c>
      <c r="U13" t="s">
        <v>301</v>
      </c>
      <c r="V13" s="9" t="s">
        <v>301</v>
      </c>
      <c r="W13" t="s">
        <v>324</v>
      </c>
      <c r="X13" t="s">
        <v>129</v>
      </c>
      <c r="Y13" t="s">
        <v>31</v>
      </c>
      <c r="Z13" t="s">
        <v>25</v>
      </c>
      <c r="AA13" t="s">
        <v>31</v>
      </c>
      <c r="AB13" t="s">
        <v>31</v>
      </c>
      <c r="AC13" t="s">
        <v>31</v>
      </c>
      <c r="AD13" t="s">
        <v>31</v>
      </c>
      <c r="AE13" t="s">
        <v>31</v>
      </c>
      <c r="AF13" t="s">
        <v>31</v>
      </c>
      <c r="AG13" t="s">
        <v>31</v>
      </c>
      <c r="AH13" s="6" t="s">
        <v>25</v>
      </c>
      <c r="AI13" s="6" t="s">
        <v>25</v>
      </c>
      <c r="AJ13" s="6" t="s">
        <v>36</v>
      </c>
      <c r="AK13" s="6" t="s">
        <v>25</v>
      </c>
      <c r="AL13" s="6" t="s">
        <v>36</v>
      </c>
      <c r="AM13" s="6" t="s">
        <v>25</v>
      </c>
      <c r="AN13" s="6" t="s">
        <v>36</v>
      </c>
      <c r="AO13" s="23" t="s">
        <v>31</v>
      </c>
      <c r="AP13" s="6" t="s">
        <v>36</v>
      </c>
      <c r="AQ13" s="23" t="s">
        <v>589</v>
      </c>
      <c r="AR13" s="6" t="s">
        <v>36</v>
      </c>
      <c r="AS13" s="23" t="s">
        <v>561</v>
      </c>
      <c r="AT13" s="6" t="s">
        <v>36</v>
      </c>
      <c r="AU13" s="6" t="s">
        <v>372</v>
      </c>
      <c r="AV13" s="6" t="s">
        <v>36</v>
      </c>
    </row>
    <row r="14" spans="1:48" x14ac:dyDescent="0.25">
      <c r="A14" t="s">
        <v>5</v>
      </c>
      <c r="B14" t="s">
        <v>2</v>
      </c>
      <c r="C14" t="s">
        <v>31</v>
      </c>
      <c r="D14" t="s">
        <v>31</v>
      </c>
      <c r="E14" t="s">
        <v>31</v>
      </c>
      <c r="F14" t="s">
        <v>25</v>
      </c>
      <c r="G14" t="s">
        <v>36</v>
      </c>
      <c r="H14" t="s">
        <v>36</v>
      </c>
      <c r="I14" t="s">
        <v>31</v>
      </c>
      <c r="J14" t="s">
        <v>31</v>
      </c>
      <c r="K14" s="1" t="s">
        <v>62</v>
      </c>
      <c r="L14" t="s">
        <v>36</v>
      </c>
      <c r="M14" t="s">
        <v>130</v>
      </c>
      <c r="N14" t="s">
        <v>131</v>
      </c>
      <c r="Q14">
        <v>1000000</v>
      </c>
      <c r="S14" s="19" t="s">
        <v>247</v>
      </c>
      <c r="T14" s="19" t="s">
        <v>550</v>
      </c>
      <c r="W14" s="11" t="s">
        <v>121</v>
      </c>
      <c r="X14" t="s">
        <v>131</v>
      </c>
      <c r="Y14" t="s">
        <v>31</v>
      </c>
      <c r="Z14" t="s">
        <v>25</v>
      </c>
      <c r="AA14" t="s">
        <v>31</v>
      </c>
      <c r="AB14" t="s">
        <v>31</v>
      </c>
      <c r="AC14" t="s">
        <v>31</v>
      </c>
      <c r="AD14" t="s">
        <v>31</v>
      </c>
      <c r="AE14" t="s">
        <v>31</v>
      </c>
      <c r="AF14" t="s">
        <v>31</v>
      </c>
      <c r="AG14" t="s">
        <v>31</v>
      </c>
      <c r="AH14" s="6" t="s">
        <v>31</v>
      </c>
      <c r="AI14" s="6" t="s">
        <v>25</v>
      </c>
      <c r="AJ14" s="6" t="s">
        <v>36</v>
      </c>
      <c r="AK14" s="6" t="s">
        <v>31</v>
      </c>
      <c r="AL14" s="6" t="s">
        <v>374</v>
      </c>
      <c r="AM14" s="6" t="s">
        <v>25</v>
      </c>
      <c r="AN14" s="6" t="s">
        <v>36</v>
      </c>
      <c r="AO14" s="6" t="s">
        <v>31</v>
      </c>
      <c r="AP14" s="6" t="s">
        <v>422</v>
      </c>
      <c r="AQ14" s="6" t="s">
        <v>438</v>
      </c>
      <c r="AR14" s="6" t="s">
        <v>439</v>
      </c>
      <c r="AS14" s="6" t="s">
        <v>490</v>
      </c>
      <c r="AT14" s="1" t="s">
        <v>437</v>
      </c>
      <c r="AU14" s="6" t="s">
        <v>373</v>
      </c>
      <c r="AV14" s="6" t="s">
        <v>36</v>
      </c>
    </row>
    <row r="15" spans="1:48" x14ac:dyDescent="0.25">
      <c r="A15" t="s">
        <v>6</v>
      </c>
      <c r="B15" t="s">
        <v>2</v>
      </c>
      <c r="C15" t="s">
        <v>31</v>
      </c>
      <c r="D15" t="s">
        <v>31</v>
      </c>
      <c r="E15" t="s">
        <v>31</v>
      </c>
      <c r="F15" t="s">
        <v>25</v>
      </c>
      <c r="G15" t="s">
        <v>36</v>
      </c>
      <c r="H15" t="s">
        <v>36</v>
      </c>
      <c r="I15" t="s">
        <v>31</v>
      </c>
      <c r="J15" t="s">
        <v>31</v>
      </c>
      <c r="K15" s="1" t="s">
        <v>63</v>
      </c>
      <c r="L15" t="s">
        <v>36</v>
      </c>
      <c r="M15" t="s">
        <v>130</v>
      </c>
      <c r="N15" t="s">
        <v>131</v>
      </c>
      <c r="Q15">
        <v>1000000</v>
      </c>
      <c r="S15" s="11" t="s">
        <v>247</v>
      </c>
      <c r="T15" s="19" t="s">
        <v>552</v>
      </c>
      <c r="U15" t="s">
        <v>302</v>
      </c>
      <c r="V15" s="9" t="s">
        <v>302</v>
      </c>
      <c r="W15" s="11" t="s">
        <v>327</v>
      </c>
      <c r="X15" t="s">
        <v>131</v>
      </c>
      <c r="Y15" t="s">
        <v>31</v>
      </c>
      <c r="Z15" t="s">
        <v>25</v>
      </c>
      <c r="AA15" t="s">
        <v>31</v>
      </c>
      <c r="AB15" t="s">
        <v>31</v>
      </c>
      <c r="AC15" t="s">
        <v>31</v>
      </c>
      <c r="AD15" t="s">
        <v>31</v>
      </c>
      <c r="AE15" t="s">
        <v>31</v>
      </c>
      <c r="AF15" t="s">
        <v>31</v>
      </c>
      <c r="AG15" t="s">
        <v>31</v>
      </c>
      <c r="AH15" s="6" t="s">
        <v>25</v>
      </c>
      <c r="AI15" s="6" t="s">
        <v>25</v>
      </c>
      <c r="AJ15" s="6" t="s">
        <v>36</v>
      </c>
      <c r="AK15" s="6" t="s">
        <v>25</v>
      </c>
      <c r="AL15" s="6" t="s">
        <v>36</v>
      </c>
      <c r="AM15" s="6" t="s">
        <v>25</v>
      </c>
      <c r="AN15" s="6" t="s">
        <v>36</v>
      </c>
      <c r="AO15" s="6" t="s">
        <v>31</v>
      </c>
      <c r="AP15" s="6" t="s">
        <v>423</v>
      </c>
      <c r="AQ15" s="6" t="s">
        <v>442</v>
      </c>
      <c r="AR15" s="6" t="s">
        <v>441</v>
      </c>
      <c r="AS15" s="6" t="s">
        <v>491</v>
      </c>
      <c r="AT15" s="1" t="s">
        <v>440</v>
      </c>
      <c r="AU15" s="6" t="s">
        <v>375</v>
      </c>
      <c r="AV15" s="6" t="s">
        <v>36</v>
      </c>
    </row>
    <row r="16" spans="1:48" x14ac:dyDescent="0.25">
      <c r="A16" t="s">
        <v>7</v>
      </c>
      <c r="B16" t="s">
        <v>2</v>
      </c>
      <c r="C16" t="s">
        <v>31</v>
      </c>
      <c r="D16" t="s">
        <v>31</v>
      </c>
      <c r="E16" t="s">
        <v>31</v>
      </c>
      <c r="F16" t="s">
        <v>25</v>
      </c>
      <c r="G16" t="s">
        <v>36</v>
      </c>
      <c r="H16" t="s">
        <v>36</v>
      </c>
      <c r="I16" t="s">
        <v>31</v>
      </c>
      <c r="J16" t="s">
        <v>31</v>
      </c>
      <c r="K16" s="1" t="s">
        <v>64</v>
      </c>
      <c r="L16" t="s">
        <v>36</v>
      </c>
      <c r="M16" t="s">
        <v>132</v>
      </c>
      <c r="N16" t="s">
        <v>131</v>
      </c>
      <c r="Q16">
        <v>1000000</v>
      </c>
      <c r="S16" s="11" t="s">
        <v>247</v>
      </c>
      <c r="T16" s="19" t="s">
        <v>551</v>
      </c>
      <c r="U16" t="s">
        <v>303</v>
      </c>
      <c r="V16" s="9" t="s">
        <v>303</v>
      </c>
      <c r="W16" s="11" t="s">
        <v>556</v>
      </c>
      <c r="X16" t="s">
        <v>131</v>
      </c>
      <c r="Y16" t="s">
        <v>31</v>
      </c>
      <c r="Z16" t="s">
        <v>25</v>
      </c>
      <c r="AA16" t="s">
        <v>31</v>
      </c>
      <c r="AB16" t="s">
        <v>31</v>
      </c>
      <c r="AC16" t="s">
        <v>31</v>
      </c>
      <c r="AD16" t="s">
        <v>31</v>
      </c>
      <c r="AE16" t="s">
        <v>31</v>
      </c>
      <c r="AF16" t="s">
        <v>31</v>
      </c>
      <c r="AG16" t="s">
        <v>31</v>
      </c>
      <c r="AH16" s="6" t="s">
        <v>25</v>
      </c>
      <c r="AI16" s="6" t="s">
        <v>25</v>
      </c>
      <c r="AJ16" s="6" t="s">
        <v>36</v>
      </c>
      <c r="AK16" s="6" t="s">
        <v>25</v>
      </c>
      <c r="AL16" s="6" t="s">
        <v>36</v>
      </c>
      <c r="AM16" s="6" t="s">
        <v>25</v>
      </c>
      <c r="AN16" s="6" t="s">
        <v>36</v>
      </c>
      <c r="AO16" s="23" t="s">
        <v>31</v>
      </c>
      <c r="AP16" s="6" t="s">
        <v>36</v>
      </c>
      <c r="AQ16" s="23" t="s">
        <v>590</v>
      </c>
      <c r="AR16" s="6" t="s">
        <v>36</v>
      </c>
      <c r="AS16" s="23" t="s">
        <v>562</v>
      </c>
      <c r="AT16" s="6" t="s">
        <v>36</v>
      </c>
      <c r="AU16" s="6" t="s">
        <v>376</v>
      </c>
      <c r="AV16" s="6" t="s">
        <v>36</v>
      </c>
    </row>
    <row r="17" spans="1:48" x14ac:dyDescent="0.25">
      <c r="A17" s="10" t="s">
        <v>8</v>
      </c>
      <c r="B17" t="s">
        <v>2</v>
      </c>
      <c r="C17" t="s">
        <v>31</v>
      </c>
      <c r="D17" t="s">
        <v>31</v>
      </c>
      <c r="E17" t="s">
        <v>344</v>
      </c>
      <c r="F17" t="s">
        <v>31</v>
      </c>
      <c r="G17" s="1" t="s">
        <v>65</v>
      </c>
      <c r="H17" s="1" t="s">
        <v>66</v>
      </c>
      <c r="I17" t="s">
        <v>31</v>
      </c>
      <c r="J17" t="s">
        <v>31</v>
      </c>
      <c r="K17" s="1" t="s">
        <v>67</v>
      </c>
      <c r="L17" t="s">
        <v>36</v>
      </c>
      <c r="M17" t="s">
        <v>133</v>
      </c>
      <c r="N17" t="s">
        <v>134</v>
      </c>
      <c r="Q17" t="s">
        <v>247</v>
      </c>
      <c r="S17" t="s">
        <v>269</v>
      </c>
      <c r="U17" t="s">
        <v>304</v>
      </c>
      <c r="V17" s="9" t="s">
        <v>304</v>
      </c>
      <c r="W17" t="s">
        <v>328</v>
      </c>
      <c r="X17" t="s">
        <v>134</v>
      </c>
      <c r="Y17" t="s">
        <v>247</v>
      </c>
      <c r="Z17" t="s">
        <v>247</v>
      </c>
      <c r="AA17" t="s">
        <v>31</v>
      </c>
      <c r="AB17" t="s">
        <v>31</v>
      </c>
      <c r="AC17" t="s">
        <v>247</v>
      </c>
      <c r="AD17" t="s">
        <v>247</v>
      </c>
      <c r="AE17" t="s">
        <v>247</v>
      </c>
      <c r="AF17" s="22" t="s">
        <v>31</v>
      </c>
      <c r="AG17" t="s">
        <v>247</v>
      </c>
      <c r="AH17" s="6" t="s">
        <v>25</v>
      </c>
      <c r="AI17" s="6" t="s">
        <v>25</v>
      </c>
      <c r="AJ17" s="6" t="s">
        <v>36</v>
      </c>
      <c r="AK17" s="6" t="s">
        <v>25</v>
      </c>
      <c r="AL17" s="6" t="s">
        <v>36</v>
      </c>
      <c r="AM17" s="6" t="s">
        <v>25</v>
      </c>
      <c r="AN17" s="6" t="s">
        <v>36</v>
      </c>
      <c r="AO17" s="6" t="s">
        <v>31</v>
      </c>
      <c r="AP17" s="6" t="s">
        <v>422</v>
      </c>
      <c r="AQ17" s="6" t="s">
        <v>444</v>
      </c>
      <c r="AR17" s="6" t="s">
        <v>443</v>
      </c>
      <c r="AS17" s="6" t="s">
        <v>486</v>
      </c>
      <c r="AT17" s="1" t="s">
        <v>445</v>
      </c>
      <c r="AU17" s="6" t="s">
        <v>377</v>
      </c>
      <c r="AV17" s="6" t="s">
        <v>36</v>
      </c>
    </row>
    <row r="18" spans="1:48" x14ac:dyDescent="0.25">
      <c r="A18" t="s">
        <v>9</v>
      </c>
      <c r="B18" t="s">
        <v>10</v>
      </c>
      <c r="C18" t="s">
        <v>31</v>
      </c>
      <c r="D18" t="s">
        <v>31</v>
      </c>
      <c r="E18" t="s">
        <v>31</v>
      </c>
      <c r="F18" t="s">
        <v>31</v>
      </c>
      <c r="G18" s="1" t="s">
        <v>81</v>
      </c>
      <c r="H18" t="s">
        <v>36</v>
      </c>
      <c r="I18" t="s">
        <v>31</v>
      </c>
      <c r="J18" t="s">
        <v>31</v>
      </c>
      <c r="K18" s="1" t="s">
        <v>82</v>
      </c>
      <c r="L18" t="s">
        <v>80</v>
      </c>
      <c r="M18" t="s">
        <v>135</v>
      </c>
      <c r="N18" t="s">
        <v>136</v>
      </c>
      <c r="O18">
        <v>1</v>
      </c>
      <c r="Q18" t="s">
        <v>36</v>
      </c>
      <c r="S18">
        <v>2013</v>
      </c>
      <c r="U18" t="s">
        <v>291</v>
      </c>
      <c r="V18" s="9" t="s">
        <v>291</v>
      </c>
      <c r="W18" s="11">
        <v>2013</v>
      </c>
      <c r="X18" t="s">
        <v>136</v>
      </c>
      <c r="Y18" t="s">
        <v>31</v>
      </c>
      <c r="Z18" t="s">
        <v>25</v>
      </c>
      <c r="AA18" t="s">
        <v>31</v>
      </c>
      <c r="AB18" t="s">
        <v>25</v>
      </c>
      <c r="AC18" s="22" t="s">
        <v>31</v>
      </c>
      <c r="AD18" s="22" t="s">
        <v>31</v>
      </c>
      <c r="AE18" s="22" t="s">
        <v>31</v>
      </c>
      <c r="AF18" t="s">
        <v>31</v>
      </c>
      <c r="AG18" t="s">
        <v>31</v>
      </c>
      <c r="AH18" s="6" t="s">
        <v>31</v>
      </c>
      <c r="AI18" s="6" t="s">
        <v>31</v>
      </c>
      <c r="AJ18" s="6" t="s">
        <v>354</v>
      </c>
      <c r="AK18" s="6" t="s">
        <v>25</v>
      </c>
      <c r="AL18" s="6" t="s">
        <v>36</v>
      </c>
      <c r="AM18" s="6" t="s">
        <v>25</v>
      </c>
      <c r="AN18" s="6" t="s">
        <v>36</v>
      </c>
      <c r="AO18" s="23" t="s">
        <v>31</v>
      </c>
      <c r="AP18" s="6" t="s">
        <v>36</v>
      </c>
      <c r="AQ18" s="23" t="s">
        <v>591</v>
      </c>
      <c r="AR18" s="6" t="s">
        <v>36</v>
      </c>
      <c r="AS18" s="23" t="s">
        <v>564</v>
      </c>
      <c r="AT18" s="6" t="s">
        <v>36</v>
      </c>
      <c r="AU18" s="6" t="s">
        <v>563</v>
      </c>
      <c r="AV18" s="6" t="s">
        <v>409</v>
      </c>
    </row>
    <row r="19" spans="1:48" x14ac:dyDescent="0.25">
      <c r="A19" t="s">
        <v>11</v>
      </c>
      <c r="B19" t="s">
        <v>10</v>
      </c>
      <c r="C19" t="s">
        <v>31</v>
      </c>
      <c r="D19" t="s">
        <v>31</v>
      </c>
      <c r="E19" t="s">
        <v>31</v>
      </c>
      <c r="F19" t="s">
        <v>31</v>
      </c>
      <c r="G19" s="1" t="s">
        <v>83</v>
      </c>
      <c r="H19" t="s">
        <v>36</v>
      </c>
      <c r="I19" t="s">
        <v>31</v>
      </c>
      <c r="J19" t="s">
        <v>31</v>
      </c>
      <c r="K19" s="1" t="s">
        <v>84</v>
      </c>
      <c r="L19" t="s">
        <v>36</v>
      </c>
      <c r="M19" t="s">
        <v>137</v>
      </c>
      <c r="N19" t="s">
        <v>138</v>
      </c>
      <c r="O19" s="22">
        <v>1</v>
      </c>
      <c r="Q19" t="s">
        <v>36</v>
      </c>
      <c r="S19" t="s">
        <v>341</v>
      </c>
      <c r="U19" t="s">
        <v>305</v>
      </c>
      <c r="V19" s="9" t="s">
        <v>305</v>
      </c>
      <c r="W19" t="s">
        <v>341</v>
      </c>
      <c r="X19" t="s">
        <v>138</v>
      </c>
      <c r="Y19" t="s">
        <v>31</v>
      </c>
      <c r="Z19" s="22" t="s">
        <v>25</v>
      </c>
      <c r="AA19" t="s">
        <v>31</v>
      </c>
      <c r="AB19" s="22" t="s">
        <v>25</v>
      </c>
      <c r="AC19" s="22" t="s">
        <v>31</v>
      </c>
      <c r="AD19" s="22" t="s">
        <v>31</v>
      </c>
      <c r="AE19" s="22" t="s">
        <v>31</v>
      </c>
      <c r="AF19" s="22" t="s">
        <v>31</v>
      </c>
      <c r="AG19" t="s">
        <v>31</v>
      </c>
      <c r="AH19" s="6" t="s">
        <v>25</v>
      </c>
      <c r="AI19" s="6" t="s">
        <v>25</v>
      </c>
      <c r="AJ19" s="6" t="s">
        <v>36</v>
      </c>
      <c r="AK19" s="6" t="s">
        <v>25</v>
      </c>
      <c r="AL19" s="6" t="s">
        <v>36</v>
      </c>
      <c r="AM19" s="6" t="s">
        <v>25</v>
      </c>
      <c r="AN19" s="6" t="s">
        <v>36</v>
      </c>
      <c r="AO19" s="23" t="s">
        <v>31</v>
      </c>
      <c r="AP19" s="6" t="s">
        <v>36</v>
      </c>
      <c r="AQ19" s="23" t="s">
        <v>592</v>
      </c>
      <c r="AR19" s="6" t="s">
        <v>36</v>
      </c>
      <c r="AS19" s="23" t="s">
        <v>565</v>
      </c>
      <c r="AT19" s="6" t="s">
        <v>36</v>
      </c>
      <c r="AU19" s="6" t="s">
        <v>378</v>
      </c>
      <c r="AV19" s="6" t="s">
        <v>410</v>
      </c>
    </row>
    <row r="20" spans="1:48" x14ac:dyDescent="0.25">
      <c r="A20" t="s">
        <v>12</v>
      </c>
      <c r="B20" t="s">
        <v>10</v>
      </c>
      <c r="C20" t="s">
        <v>236</v>
      </c>
      <c r="D20" t="s">
        <v>31</v>
      </c>
      <c r="E20" t="s">
        <v>31</v>
      </c>
      <c r="F20" t="s">
        <v>31</v>
      </c>
      <c r="G20" s="1" t="s">
        <v>85</v>
      </c>
      <c r="H20" s="1" t="s">
        <v>86</v>
      </c>
      <c r="I20" t="s">
        <v>31</v>
      </c>
      <c r="J20" t="s">
        <v>25</v>
      </c>
      <c r="K20" t="s">
        <v>36</v>
      </c>
      <c r="L20" t="s">
        <v>36</v>
      </c>
      <c r="M20" t="s">
        <v>139</v>
      </c>
      <c r="N20" t="s">
        <v>140</v>
      </c>
      <c r="Q20" t="s">
        <v>36</v>
      </c>
      <c r="S20" t="s">
        <v>343</v>
      </c>
      <c r="U20" t="s">
        <v>306</v>
      </c>
      <c r="V20" s="9" t="s">
        <v>306</v>
      </c>
      <c r="W20" t="s">
        <v>342</v>
      </c>
      <c r="X20" t="s">
        <v>140</v>
      </c>
      <c r="Y20" t="s">
        <v>31</v>
      </c>
      <c r="Z20" t="s">
        <v>36</v>
      </c>
      <c r="AA20" t="s">
        <v>31</v>
      </c>
      <c r="AB20" t="s">
        <v>25</v>
      </c>
      <c r="AC20" t="s">
        <v>31</v>
      </c>
      <c r="AD20" t="s">
        <v>247</v>
      </c>
      <c r="AE20" t="s">
        <v>247</v>
      </c>
      <c r="AF20" t="s">
        <v>31</v>
      </c>
      <c r="AG20" t="s">
        <v>31</v>
      </c>
      <c r="AH20" s="6" t="s">
        <v>31</v>
      </c>
      <c r="AI20" s="6" t="s">
        <v>31</v>
      </c>
      <c r="AJ20" s="6" t="s">
        <v>354</v>
      </c>
      <c r="AK20" s="6" t="s">
        <v>25</v>
      </c>
      <c r="AL20" s="6" t="s">
        <v>36</v>
      </c>
      <c r="AM20" s="6" t="s">
        <v>25</v>
      </c>
      <c r="AN20" s="6" t="s">
        <v>36</v>
      </c>
      <c r="AO20" s="6" t="s">
        <v>31</v>
      </c>
      <c r="AP20" s="6" t="s">
        <v>423</v>
      </c>
      <c r="AQ20" s="6" t="s">
        <v>446</v>
      </c>
      <c r="AR20" s="6" t="s">
        <v>310</v>
      </c>
      <c r="AS20" s="6" t="s">
        <v>485</v>
      </c>
      <c r="AT20" s="1" t="s">
        <v>447</v>
      </c>
      <c r="AU20" s="6" t="s">
        <v>379</v>
      </c>
      <c r="AV20" s="6" t="s">
        <v>411</v>
      </c>
    </row>
    <row r="21" spans="1:48" x14ac:dyDescent="0.25">
      <c r="A21" t="s">
        <v>13</v>
      </c>
      <c r="B21" t="s">
        <v>10</v>
      </c>
      <c r="C21" t="s">
        <v>236</v>
      </c>
      <c r="D21" t="s">
        <v>31</v>
      </c>
      <c r="E21" t="s">
        <v>25</v>
      </c>
      <c r="F21" t="s">
        <v>31</v>
      </c>
      <c r="G21" s="1" t="s">
        <v>87</v>
      </c>
      <c r="H21" s="1" t="s">
        <v>88</v>
      </c>
      <c r="I21" t="s">
        <v>31</v>
      </c>
      <c r="J21" t="s">
        <v>25</v>
      </c>
      <c r="K21" t="s">
        <v>36</v>
      </c>
      <c r="L21" t="s">
        <v>36</v>
      </c>
      <c r="M21" t="s">
        <v>141</v>
      </c>
      <c r="N21" t="s">
        <v>142</v>
      </c>
      <c r="Q21" t="s">
        <v>36</v>
      </c>
      <c r="S21" t="s">
        <v>345</v>
      </c>
      <c r="U21" t="s">
        <v>307</v>
      </c>
      <c r="V21" s="9" t="s">
        <v>307</v>
      </c>
      <c r="W21" t="s">
        <v>346</v>
      </c>
      <c r="X21" t="s">
        <v>142</v>
      </c>
      <c r="Y21" t="s">
        <v>31</v>
      </c>
      <c r="Z21" t="s">
        <v>247</v>
      </c>
      <c r="AA21" t="s">
        <v>31</v>
      </c>
      <c r="AB21" t="s">
        <v>31</v>
      </c>
      <c r="AC21" t="s">
        <v>25</v>
      </c>
      <c r="AD21" t="s">
        <v>25</v>
      </c>
      <c r="AE21" t="s">
        <v>36</v>
      </c>
      <c r="AF21" t="s">
        <v>247</v>
      </c>
      <c r="AG21" s="22" t="s">
        <v>31</v>
      </c>
      <c r="AH21" s="6" t="s">
        <v>31</v>
      </c>
      <c r="AI21" s="6" t="s">
        <v>31</v>
      </c>
      <c r="AJ21" s="6" t="s">
        <v>363</v>
      </c>
      <c r="AK21" s="6" t="s">
        <v>25</v>
      </c>
      <c r="AL21" s="6" t="s">
        <v>36</v>
      </c>
      <c r="AM21" s="6" t="s">
        <v>31</v>
      </c>
      <c r="AN21" s="6" t="s">
        <v>371</v>
      </c>
      <c r="AO21" s="6" t="s">
        <v>31</v>
      </c>
      <c r="AP21" s="6" t="s">
        <v>423</v>
      </c>
      <c r="AQ21" s="6" t="s">
        <v>448</v>
      </c>
      <c r="AR21" s="6" t="s">
        <v>449</v>
      </c>
      <c r="AS21" s="6" t="s">
        <v>484</v>
      </c>
      <c r="AT21" s="1" t="s">
        <v>450</v>
      </c>
      <c r="AU21" s="6" t="s">
        <v>380</v>
      </c>
      <c r="AV21" s="6" t="s">
        <v>36</v>
      </c>
    </row>
    <row r="22" spans="1:48" x14ac:dyDescent="0.25">
      <c r="A22" t="s">
        <v>14</v>
      </c>
      <c r="B22" t="s">
        <v>10</v>
      </c>
      <c r="C22" t="s">
        <v>31</v>
      </c>
      <c r="D22" t="s">
        <v>31</v>
      </c>
      <c r="E22" t="s">
        <v>25</v>
      </c>
      <c r="F22" t="s">
        <v>31</v>
      </c>
      <c r="G22" s="1" t="s">
        <v>89</v>
      </c>
      <c r="H22" s="1" t="s">
        <v>90</v>
      </c>
      <c r="I22" t="s">
        <v>31</v>
      </c>
      <c r="J22" t="s">
        <v>31</v>
      </c>
      <c r="K22" s="1" t="s">
        <v>91</v>
      </c>
      <c r="L22" t="s">
        <v>36</v>
      </c>
      <c r="M22" t="s">
        <v>143</v>
      </c>
      <c r="N22" t="s">
        <v>144</v>
      </c>
      <c r="Q22" t="s">
        <v>36</v>
      </c>
      <c r="S22" t="s">
        <v>347</v>
      </c>
      <c r="U22" t="s">
        <v>115</v>
      </c>
      <c r="V22" s="9" t="s">
        <v>115</v>
      </c>
      <c r="W22" t="s">
        <v>336</v>
      </c>
      <c r="X22" t="s">
        <v>144</v>
      </c>
      <c r="Y22" t="s">
        <v>31</v>
      </c>
      <c r="Z22" t="s">
        <v>31</v>
      </c>
      <c r="AA22" t="s">
        <v>31</v>
      </c>
      <c r="AB22" t="s">
        <v>31</v>
      </c>
      <c r="AC22" t="s">
        <v>25</v>
      </c>
      <c r="AD22" t="s">
        <v>25</v>
      </c>
      <c r="AE22" t="s">
        <v>36</v>
      </c>
      <c r="AF22" t="s">
        <v>247</v>
      </c>
      <c r="AG22" t="s">
        <v>31</v>
      </c>
      <c r="AH22" s="6" t="s">
        <v>25</v>
      </c>
      <c r="AI22" s="6" t="s">
        <v>25</v>
      </c>
      <c r="AJ22" s="6" t="s">
        <v>36</v>
      </c>
      <c r="AK22" s="6" t="s">
        <v>25</v>
      </c>
      <c r="AL22" s="6" t="s">
        <v>36</v>
      </c>
      <c r="AM22" s="6" t="s">
        <v>25</v>
      </c>
      <c r="AN22" s="6" t="s">
        <v>36</v>
      </c>
      <c r="AO22" s="6" t="s">
        <v>31</v>
      </c>
      <c r="AP22" s="6" t="s">
        <v>422</v>
      </c>
      <c r="AQ22" s="6" t="s">
        <v>451</v>
      </c>
      <c r="AR22" s="6" t="s">
        <v>452</v>
      </c>
      <c r="AS22" s="6" t="s">
        <v>492</v>
      </c>
      <c r="AT22" s="1" t="s">
        <v>453</v>
      </c>
      <c r="AU22" s="6" t="s">
        <v>381</v>
      </c>
      <c r="AV22" s="6" t="s">
        <v>36</v>
      </c>
    </row>
    <row r="23" spans="1:48" x14ac:dyDescent="0.25">
      <c r="A23" t="s">
        <v>15</v>
      </c>
      <c r="B23" t="s">
        <v>10</v>
      </c>
      <c r="C23" t="s">
        <v>31</v>
      </c>
      <c r="D23" t="s">
        <v>31</v>
      </c>
      <c r="E23" t="s">
        <v>25</v>
      </c>
      <c r="F23" t="s">
        <v>31</v>
      </c>
      <c r="G23" s="1" t="s">
        <v>92</v>
      </c>
      <c r="H23" t="s">
        <v>36</v>
      </c>
      <c r="I23" t="s">
        <v>31</v>
      </c>
      <c r="J23" t="s">
        <v>94</v>
      </c>
      <c r="K23" s="1" t="s">
        <v>93</v>
      </c>
      <c r="L23" t="s">
        <v>36</v>
      </c>
      <c r="M23" t="s">
        <v>143</v>
      </c>
      <c r="N23" t="s">
        <v>144</v>
      </c>
      <c r="Q23" t="s">
        <v>36</v>
      </c>
      <c r="S23" t="s">
        <v>347</v>
      </c>
      <c r="U23" t="s">
        <v>308</v>
      </c>
      <c r="V23" s="9" t="s">
        <v>308</v>
      </c>
      <c r="W23" t="s">
        <v>336</v>
      </c>
      <c r="X23" t="s">
        <v>144</v>
      </c>
      <c r="Y23" t="s">
        <v>31</v>
      </c>
      <c r="Z23" t="s">
        <v>31</v>
      </c>
      <c r="AA23" t="s">
        <v>31</v>
      </c>
      <c r="AB23" t="s">
        <v>31</v>
      </c>
      <c r="AC23" t="s">
        <v>25</v>
      </c>
      <c r="AD23" t="s">
        <v>25</v>
      </c>
      <c r="AE23" t="s">
        <v>36</v>
      </c>
      <c r="AF23" t="s">
        <v>247</v>
      </c>
      <c r="AG23" t="s">
        <v>31</v>
      </c>
      <c r="AH23" s="6" t="s">
        <v>25</v>
      </c>
      <c r="AI23" s="6" t="s">
        <v>25</v>
      </c>
      <c r="AJ23" s="6" t="s">
        <v>36</v>
      </c>
      <c r="AK23" s="6" t="s">
        <v>25</v>
      </c>
      <c r="AL23" s="6" t="s">
        <v>36</v>
      </c>
      <c r="AM23" s="6" t="s">
        <v>25</v>
      </c>
      <c r="AN23" s="6" t="s">
        <v>36</v>
      </c>
      <c r="AO23" s="6" t="s">
        <v>31</v>
      </c>
      <c r="AP23" s="6" t="s">
        <v>423</v>
      </c>
      <c r="AQ23" s="6" t="s">
        <v>572</v>
      </c>
      <c r="AR23" s="6" t="s">
        <v>570</v>
      </c>
      <c r="AS23" s="6" t="s">
        <v>573</v>
      </c>
      <c r="AT23" s="1" t="s">
        <v>571</v>
      </c>
      <c r="AU23" s="6" t="s">
        <v>412</v>
      </c>
      <c r="AV23" s="6" t="s">
        <v>413</v>
      </c>
    </row>
    <row r="24" spans="1:48" x14ac:dyDescent="0.25">
      <c r="A24" t="s">
        <v>16</v>
      </c>
      <c r="B24" t="s">
        <v>10</v>
      </c>
      <c r="C24" t="s">
        <v>236</v>
      </c>
      <c r="D24" t="s">
        <v>31</v>
      </c>
      <c r="E24" t="s">
        <v>25</v>
      </c>
      <c r="F24" t="s">
        <v>31</v>
      </c>
      <c r="G24" s="1" t="s">
        <v>95</v>
      </c>
      <c r="H24" s="1" t="s">
        <v>96</v>
      </c>
      <c r="I24" t="s">
        <v>31</v>
      </c>
      <c r="J24" t="s">
        <v>25</v>
      </c>
      <c r="K24" t="s">
        <v>36</v>
      </c>
      <c r="L24" t="s">
        <v>36</v>
      </c>
      <c r="M24" t="s">
        <v>145</v>
      </c>
      <c r="N24" t="s">
        <v>146</v>
      </c>
      <c r="Q24" t="s">
        <v>36</v>
      </c>
      <c r="S24" t="s">
        <v>314</v>
      </c>
      <c r="U24" t="s">
        <v>309</v>
      </c>
      <c r="V24" s="9" t="s">
        <v>309</v>
      </c>
      <c r="W24" t="s">
        <v>336</v>
      </c>
      <c r="X24" t="s">
        <v>146</v>
      </c>
      <c r="Y24" t="s">
        <v>31</v>
      </c>
      <c r="Z24" s="22" t="s">
        <v>31</v>
      </c>
      <c r="AA24" t="s">
        <v>31</v>
      </c>
      <c r="AB24" t="s">
        <v>25</v>
      </c>
      <c r="AC24" t="s">
        <v>36</v>
      </c>
      <c r="AD24" t="s">
        <v>36</v>
      </c>
      <c r="AE24" t="s">
        <v>36</v>
      </c>
      <c r="AF24" t="s">
        <v>247</v>
      </c>
      <c r="AG24" t="s">
        <v>31</v>
      </c>
      <c r="AH24" s="6" t="s">
        <v>25</v>
      </c>
      <c r="AI24" s="6" t="s">
        <v>25</v>
      </c>
      <c r="AJ24" s="6" t="s">
        <v>36</v>
      </c>
      <c r="AK24" s="6" t="s">
        <v>25</v>
      </c>
      <c r="AL24" s="6" t="s">
        <v>36</v>
      </c>
      <c r="AM24" s="6" t="s">
        <v>25</v>
      </c>
      <c r="AN24" s="6" t="s">
        <v>36</v>
      </c>
      <c r="AO24" s="6" t="s">
        <v>31</v>
      </c>
      <c r="AP24" s="6" t="s">
        <v>425</v>
      </c>
      <c r="AQ24" s="6" t="s">
        <v>566</v>
      </c>
      <c r="AR24" s="6" t="s">
        <v>568</v>
      </c>
      <c r="AS24" s="6" t="s">
        <v>569</v>
      </c>
      <c r="AT24" s="1" t="s">
        <v>567</v>
      </c>
      <c r="AU24" s="6" t="s">
        <v>382</v>
      </c>
      <c r="AV24" s="6" t="s">
        <v>413</v>
      </c>
    </row>
    <row r="25" spans="1:48" x14ac:dyDescent="0.25">
      <c r="A25" t="s">
        <v>17</v>
      </c>
      <c r="B25" t="s">
        <v>10</v>
      </c>
      <c r="C25" t="s">
        <v>250</v>
      </c>
      <c r="D25" t="s">
        <v>31</v>
      </c>
      <c r="E25" t="s">
        <v>25</v>
      </c>
      <c r="F25" t="s">
        <v>31</v>
      </c>
      <c r="G25" s="1" t="s">
        <v>97</v>
      </c>
      <c r="H25" s="1" t="s">
        <v>98</v>
      </c>
      <c r="I25" t="s">
        <v>31</v>
      </c>
      <c r="J25" t="s">
        <v>25</v>
      </c>
      <c r="K25" t="s">
        <v>36</v>
      </c>
      <c r="L25" t="s">
        <v>36</v>
      </c>
      <c r="M25" t="s">
        <v>147</v>
      </c>
      <c r="N25" t="s">
        <v>148</v>
      </c>
      <c r="Q25" t="s">
        <v>36</v>
      </c>
      <c r="S25" t="s">
        <v>345</v>
      </c>
      <c r="U25" t="s">
        <v>310</v>
      </c>
      <c r="V25" s="9" t="s">
        <v>310</v>
      </c>
      <c r="W25" t="s">
        <v>340</v>
      </c>
      <c r="X25" t="s">
        <v>148</v>
      </c>
      <c r="Y25" t="s">
        <v>31</v>
      </c>
      <c r="Z25" t="s">
        <v>31</v>
      </c>
      <c r="AA25" t="s">
        <v>31</v>
      </c>
      <c r="AB25" t="s">
        <v>31</v>
      </c>
      <c r="AC25" t="s">
        <v>25</v>
      </c>
      <c r="AD25" s="22" t="s">
        <v>25</v>
      </c>
      <c r="AE25" s="22" t="s">
        <v>25</v>
      </c>
      <c r="AF25" t="s">
        <v>247</v>
      </c>
      <c r="AG25" t="s">
        <v>31</v>
      </c>
      <c r="AH25" s="6" t="s">
        <v>31</v>
      </c>
      <c r="AI25" s="6" t="s">
        <v>31</v>
      </c>
      <c r="AJ25" s="6" t="s">
        <v>383</v>
      </c>
      <c r="AK25" s="6" t="s">
        <v>25</v>
      </c>
      <c r="AL25" s="6" t="s">
        <v>36</v>
      </c>
      <c r="AM25" s="6" t="s">
        <v>25</v>
      </c>
      <c r="AN25" s="6" t="s">
        <v>36</v>
      </c>
      <c r="AO25" s="6" t="s">
        <v>31</v>
      </c>
      <c r="AP25" s="6" t="s">
        <v>423</v>
      </c>
      <c r="AQ25" s="6" t="s">
        <v>448</v>
      </c>
      <c r="AR25" s="6" t="s">
        <v>449</v>
      </c>
      <c r="AS25" s="6" t="s">
        <v>484</v>
      </c>
      <c r="AT25" s="1" t="s">
        <v>454</v>
      </c>
      <c r="AU25" s="6" t="s">
        <v>380</v>
      </c>
      <c r="AV25" s="6" t="s">
        <v>36</v>
      </c>
    </row>
    <row r="26" spans="1:48" x14ac:dyDescent="0.25">
      <c r="A26" t="s">
        <v>18</v>
      </c>
      <c r="B26" t="s">
        <v>10</v>
      </c>
      <c r="C26" t="s">
        <v>44</v>
      </c>
      <c r="D26" t="s">
        <v>31</v>
      </c>
      <c r="E26" t="s">
        <v>31</v>
      </c>
      <c r="F26" t="s">
        <v>31</v>
      </c>
      <c r="G26" s="1" t="s">
        <v>99</v>
      </c>
      <c r="H26" s="1" t="s">
        <v>100</v>
      </c>
      <c r="I26" t="s">
        <v>31</v>
      </c>
      <c r="J26" t="s">
        <v>25</v>
      </c>
      <c r="K26" t="s">
        <v>36</v>
      </c>
      <c r="L26" t="s">
        <v>36</v>
      </c>
      <c r="M26" t="s">
        <v>149</v>
      </c>
      <c r="N26" t="s">
        <v>150</v>
      </c>
      <c r="Q26" t="s">
        <v>36</v>
      </c>
      <c r="S26" s="19" t="s">
        <v>348</v>
      </c>
      <c r="W26" t="s">
        <v>247</v>
      </c>
      <c r="X26" t="s">
        <v>150</v>
      </c>
      <c r="Y26" t="s">
        <v>31</v>
      </c>
      <c r="Z26" t="s">
        <v>25</v>
      </c>
      <c r="AA26" t="s">
        <v>31</v>
      </c>
      <c r="AB26" t="s">
        <v>25</v>
      </c>
      <c r="AC26" t="s">
        <v>31</v>
      </c>
      <c r="AD26" t="s">
        <v>31</v>
      </c>
      <c r="AE26" t="s">
        <v>31</v>
      </c>
      <c r="AF26" t="s">
        <v>247</v>
      </c>
      <c r="AG26" t="s">
        <v>247</v>
      </c>
      <c r="AH26" s="6" t="s">
        <v>25</v>
      </c>
      <c r="AI26" s="6" t="s">
        <v>25</v>
      </c>
      <c r="AJ26" s="6" t="s">
        <v>36</v>
      </c>
      <c r="AK26" s="6" t="s">
        <v>25</v>
      </c>
      <c r="AL26" s="6" t="s">
        <v>36</v>
      </c>
      <c r="AM26" s="6" t="s">
        <v>25</v>
      </c>
      <c r="AN26" s="6" t="s">
        <v>36</v>
      </c>
      <c r="AO26" s="6" t="s">
        <v>247</v>
      </c>
      <c r="AP26" s="6" t="s">
        <v>247</v>
      </c>
      <c r="AQ26" s="6" t="s">
        <v>247</v>
      </c>
      <c r="AR26" s="6" t="s">
        <v>247</v>
      </c>
      <c r="AS26" s="6" t="s">
        <v>247</v>
      </c>
      <c r="AT26" s="6" t="s">
        <v>247</v>
      </c>
      <c r="AU26" s="6" t="s">
        <v>247</v>
      </c>
      <c r="AV26" s="6" t="s">
        <v>247</v>
      </c>
    </row>
    <row r="27" spans="1:48" x14ac:dyDescent="0.25">
      <c r="A27" t="s">
        <v>19</v>
      </c>
      <c r="B27" t="s">
        <v>10</v>
      </c>
      <c r="C27" t="s">
        <v>236</v>
      </c>
      <c r="D27" t="s">
        <v>31</v>
      </c>
      <c r="E27" t="s">
        <v>31</v>
      </c>
      <c r="F27" t="s">
        <v>31</v>
      </c>
      <c r="G27" s="1" t="s">
        <v>101</v>
      </c>
      <c r="H27" s="1" t="s">
        <v>102</v>
      </c>
      <c r="I27" t="s">
        <v>31</v>
      </c>
      <c r="J27" t="s">
        <v>25</v>
      </c>
      <c r="K27" t="s">
        <v>36</v>
      </c>
      <c r="L27" t="s">
        <v>36</v>
      </c>
      <c r="M27" t="s">
        <v>151</v>
      </c>
      <c r="N27" t="s">
        <v>152</v>
      </c>
      <c r="Q27" t="s">
        <v>36</v>
      </c>
      <c r="S27" s="19" t="s">
        <v>553</v>
      </c>
      <c r="U27" t="s">
        <v>304</v>
      </c>
      <c r="V27" s="9" t="s">
        <v>304</v>
      </c>
      <c r="W27" t="s">
        <v>328</v>
      </c>
      <c r="X27" t="s">
        <v>152</v>
      </c>
      <c r="Y27" s="19" t="s">
        <v>36</v>
      </c>
      <c r="Z27" s="22" t="s">
        <v>25</v>
      </c>
      <c r="AA27" t="s">
        <v>31</v>
      </c>
      <c r="AB27" t="s">
        <v>25</v>
      </c>
      <c r="AC27" t="s">
        <v>36</v>
      </c>
      <c r="AD27" t="s">
        <v>36</v>
      </c>
      <c r="AE27" t="s">
        <v>36</v>
      </c>
      <c r="AF27" t="s">
        <v>31</v>
      </c>
      <c r="AG27" s="22" t="s">
        <v>31</v>
      </c>
      <c r="AH27" s="6" t="s">
        <v>31</v>
      </c>
      <c r="AI27" s="6" t="s">
        <v>31</v>
      </c>
      <c r="AJ27" s="6" t="s">
        <v>400</v>
      </c>
      <c r="AK27" s="6" t="s">
        <v>25</v>
      </c>
      <c r="AL27" s="6" t="s">
        <v>36</v>
      </c>
      <c r="AM27" s="6" t="s">
        <v>25</v>
      </c>
      <c r="AN27" s="6" t="s">
        <v>36</v>
      </c>
      <c r="AO27" s="23" t="s">
        <v>31</v>
      </c>
      <c r="AP27" s="6" t="s">
        <v>36</v>
      </c>
      <c r="AQ27" s="23" t="s">
        <v>575</v>
      </c>
      <c r="AR27" s="6" t="s">
        <v>36</v>
      </c>
      <c r="AS27" s="23" t="s">
        <v>574</v>
      </c>
      <c r="AT27" s="6" t="s">
        <v>36</v>
      </c>
      <c r="AU27" s="6" t="s">
        <v>424</v>
      </c>
      <c r="AV27" s="6" t="s">
        <v>36</v>
      </c>
    </row>
    <row r="28" spans="1:48" x14ac:dyDescent="0.25">
      <c r="A28" t="s">
        <v>24</v>
      </c>
      <c r="B28" t="s">
        <v>21</v>
      </c>
      <c r="C28" t="s">
        <v>31</v>
      </c>
      <c r="D28" t="s">
        <v>31</v>
      </c>
      <c r="E28" t="s">
        <v>31</v>
      </c>
      <c r="F28" t="s">
        <v>25</v>
      </c>
      <c r="G28" t="s">
        <v>36</v>
      </c>
      <c r="H28" t="s">
        <v>36</v>
      </c>
      <c r="J28" t="s">
        <v>31</v>
      </c>
      <c r="K28" s="1" t="s">
        <v>109</v>
      </c>
      <c r="L28" t="s">
        <v>36</v>
      </c>
      <c r="M28" t="s">
        <v>156</v>
      </c>
      <c r="N28" t="s">
        <v>157</v>
      </c>
      <c r="Q28" t="s">
        <v>36</v>
      </c>
      <c r="S28" t="s">
        <v>332</v>
      </c>
      <c r="U28" t="s">
        <v>312</v>
      </c>
      <c r="V28" s="9" t="s">
        <v>312</v>
      </c>
      <c r="W28" s="11" t="s">
        <v>332</v>
      </c>
      <c r="X28" t="s">
        <v>157</v>
      </c>
      <c r="Y28" t="s">
        <v>31</v>
      </c>
      <c r="Z28" t="s">
        <v>25</v>
      </c>
      <c r="AA28" t="s">
        <v>31</v>
      </c>
      <c r="AB28" t="s">
        <v>25</v>
      </c>
      <c r="AC28" t="s">
        <v>36</v>
      </c>
      <c r="AD28" t="s">
        <v>36</v>
      </c>
      <c r="AE28" t="s">
        <v>36</v>
      </c>
      <c r="AF28" t="s">
        <v>247</v>
      </c>
      <c r="AG28" t="s">
        <v>247</v>
      </c>
      <c r="AH28" s="6" t="s">
        <v>25</v>
      </c>
      <c r="AI28" s="6" t="s">
        <v>25</v>
      </c>
      <c r="AJ28" s="6" t="s">
        <v>36</v>
      </c>
      <c r="AK28" s="6" t="s">
        <v>25</v>
      </c>
      <c r="AL28" s="6" t="s">
        <v>36</v>
      </c>
      <c r="AM28" s="6" t="s">
        <v>25</v>
      </c>
      <c r="AN28" s="6" t="s">
        <v>36</v>
      </c>
      <c r="AO28" s="6" t="s">
        <v>31</v>
      </c>
      <c r="AP28" s="6" t="s">
        <v>422</v>
      </c>
      <c r="AQ28" s="6" t="s">
        <v>455</v>
      </c>
      <c r="AR28" s="6" t="s">
        <v>456</v>
      </c>
      <c r="AS28" s="6" t="s">
        <v>155</v>
      </c>
      <c r="AT28" s="1" t="s">
        <v>457</v>
      </c>
      <c r="AU28" s="6" t="s">
        <v>385</v>
      </c>
      <c r="AV28" s="6" t="s">
        <v>36</v>
      </c>
    </row>
    <row r="29" spans="1:48" x14ac:dyDescent="0.25">
      <c r="A29" t="s">
        <v>161</v>
      </c>
      <c r="B29" t="s">
        <v>10</v>
      </c>
      <c r="C29" t="s">
        <v>44</v>
      </c>
      <c r="D29" t="s">
        <v>31</v>
      </c>
      <c r="E29" t="s">
        <v>31</v>
      </c>
      <c r="F29" t="s">
        <v>31</v>
      </c>
      <c r="G29" s="1" t="s">
        <v>196</v>
      </c>
      <c r="H29" s="1" t="s">
        <v>197</v>
      </c>
      <c r="I29" t="s">
        <v>31</v>
      </c>
      <c r="J29" t="s">
        <v>25</v>
      </c>
      <c r="K29" t="s">
        <v>36</v>
      </c>
      <c r="L29" t="s">
        <v>36</v>
      </c>
      <c r="M29" t="s">
        <v>251</v>
      </c>
      <c r="N29" t="s">
        <v>192</v>
      </c>
      <c r="Q29" t="s">
        <v>36</v>
      </c>
      <c r="S29" t="s">
        <v>247</v>
      </c>
      <c r="U29" t="s">
        <v>251</v>
      </c>
      <c r="V29" s="9" t="s">
        <v>251</v>
      </c>
      <c r="W29" t="s">
        <v>247</v>
      </c>
      <c r="X29" t="s">
        <v>192</v>
      </c>
      <c r="Y29" t="s">
        <v>31</v>
      </c>
      <c r="Z29" t="s">
        <v>25</v>
      </c>
      <c r="AA29" t="s">
        <v>31</v>
      </c>
      <c r="AB29" t="s">
        <v>25</v>
      </c>
      <c r="AC29" t="s">
        <v>36</v>
      </c>
      <c r="AD29" t="s">
        <v>36</v>
      </c>
      <c r="AE29" t="s">
        <v>36</v>
      </c>
      <c r="AF29" t="s">
        <v>247</v>
      </c>
      <c r="AG29" t="s">
        <v>247</v>
      </c>
      <c r="AH29" s="6" t="s">
        <v>31</v>
      </c>
      <c r="AI29" s="6" t="s">
        <v>31</v>
      </c>
      <c r="AJ29" s="6" t="s">
        <v>387</v>
      </c>
      <c r="AK29" s="6" t="s">
        <v>25</v>
      </c>
      <c r="AL29" s="6" t="s">
        <v>36</v>
      </c>
      <c r="AM29" s="6" t="s">
        <v>25</v>
      </c>
      <c r="AN29" s="6" t="s">
        <v>36</v>
      </c>
      <c r="AO29" s="23" t="s">
        <v>31</v>
      </c>
      <c r="AP29" s="6" t="s">
        <v>36</v>
      </c>
      <c r="AQ29" s="23" t="s">
        <v>576</v>
      </c>
      <c r="AR29" s="6" t="s">
        <v>36</v>
      </c>
      <c r="AS29" s="23" t="s">
        <v>462</v>
      </c>
      <c r="AT29" s="6" t="s">
        <v>36</v>
      </c>
      <c r="AU29" s="6" t="s">
        <v>386</v>
      </c>
      <c r="AV29" s="6" t="s">
        <v>36</v>
      </c>
    </row>
    <row r="30" spans="1:48" x14ac:dyDescent="0.25">
      <c r="A30" t="s">
        <v>163</v>
      </c>
      <c r="B30" t="s">
        <v>10</v>
      </c>
      <c r="C30" t="s">
        <v>236</v>
      </c>
      <c r="D30" t="s">
        <v>31</v>
      </c>
      <c r="E30" t="s">
        <v>25</v>
      </c>
      <c r="F30" t="s">
        <v>31</v>
      </c>
      <c r="G30" s="1" t="s">
        <v>198</v>
      </c>
      <c r="H30" s="1" t="s">
        <v>199</v>
      </c>
      <c r="I30" t="s">
        <v>31</v>
      </c>
      <c r="J30" t="s">
        <v>25</v>
      </c>
      <c r="K30" t="s">
        <v>36</v>
      </c>
      <c r="L30" t="s">
        <v>36</v>
      </c>
      <c r="M30" t="s">
        <v>263</v>
      </c>
      <c r="N30" t="s">
        <v>212</v>
      </c>
      <c r="Q30" t="s">
        <v>36</v>
      </c>
      <c r="S30" t="s">
        <v>547</v>
      </c>
      <c r="U30" t="s">
        <v>263</v>
      </c>
      <c r="V30" s="9" t="s">
        <v>263</v>
      </c>
      <c r="W30" t="s">
        <v>547</v>
      </c>
      <c r="X30" t="s">
        <v>212</v>
      </c>
      <c r="Y30" t="s">
        <v>31</v>
      </c>
      <c r="Z30" t="s">
        <v>31</v>
      </c>
      <c r="AA30" t="s">
        <v>31</v>
      </c>
      <c r="AB30" t="s">
        <v>31</v>
      </c>
      <c r="AC30" t="s">
        <v>25</v>
      </c>
      <c r="AD30" t="s">
        <v>25</v>
      </c>
      <c r="AE30" t="s">
        <v>36</v>
      </c>
      <c r="AF30" t="s">
        <v>247</v>
      </c>
      <c r="AG30" t="s">
        <v>247</v>
      </c>
      <c r="AH30" s="6" t="s">
        <v>25</v>
      </c>
      <c r="AI30" s="6" t="s">
        <v>25</v>
      </c>
      <c r="AJ30" s="6" t="s">
        <v>36</v>
      </c>
      <c r="AK30" s="6" t="s">
        <v>25</v>
      </c>
      <c r="AL30" s="6" t="s">
        <v>36</v>
      </c>
      <c r="AM30" s="6" t="s">
        <v>25</v>
      </c>
      <c r="AN30" s="6" t="s">
        <v>36</v>
      </c>
      <c r="AO30" s="6" t="s">
        <v>31</v>
      </c>
      <c r="AP30" s="6" t="s">
        <v>422</v>
      </c>
      <c r="AQ30" s="6" t="s">
        <v>460</v>
      </c>
      <c r="AR30" s="6" t="s">
        <v>459</v>
      </c>
      <c r="AS30" s="6" t="s">
        <v>482</v>
      </c>
      <c r="AT30" s="1" t="s">
        <v>458</v>
      </c>
      <c r="AU30" s="6" t="s">
        <v>388</v>
      </c>
      <c r="AV30" s="6" t="s">
        <v>414</v>
      </c>
    </row>
    <row r="31" spans="1:48" x14ac:dyDescent="0.25">
      <c r="A31" t="s">
        <v>164</v>
      </c>
      <c r="B31" t="s">
        <v>10</v>
      </c>
      <c r="C31" t="s">
        <v>31</v>
      </c>
      <c r="D31" t="s">
        <v>31</v>
      </c>
      <c r="E31" t="s">
        <v>31</v>
      </c>
      <c r="F31" t="s">
        <v>31</v>
      </c>
      <c r="G31" s="1" t="s">
        <v>200</v>
      </c>
      <c r="H31" s="1" t="s">
        <v>201</v>
      </c>
      <c r="I31" t="s">
        <v>31</v>
      </c>
      <c r="J31" t="s">
        <v>31</v>
      </c>
      <c r="K31" s="1" t="s">
        <v>202</v>
      </c>
      <c r="L31" t="s">
        <v>36</v>
      </c>
      <c r="M31" t="s">
        <v>253</v>
      </c>
      <c r="N31" t="s">
        <v>213</v>
      </c>
      <c r="O31">
        <v>1</v>
      </c>
      <c r="Q31" t="s">
        <v>36</v>
      </c>
      <c r="S31" t="s">
        <v>135</v>
      </c>
      <c r="U31" t="s">
        <v>253</v>
      </c>
      <c r="V31" s="9" t="s">
        <v>253</v>
      </c>
      <c r="W31" t="s">
        <v>546</v>
      </c>
      <c r="X31" t="s">
        <v>213</v>
      </c>
      <c r="Y31" t="s">
        <v>31</v>
      </c>
      <c r="Z31" t="s">
        <v>25</v>
      </c>
      <c r="AA31" t="s">
        <v>31</v>
      </c>
      <c r="AB31" t="s">
        <v>25</v>
      </c>
      <c r="AC31" s="22" t="s">
        <v>31</v>
      </c>
      <c r="AD31" t="s">
        <v>31</v>
      </c>
      <c r="AE31" t="s">
        <v>36</v>
      </c>
      <c r="AF31" t="s">
        <v>247</v>
      </c>
      <c r="AG31" t="s">
        <v>31</v>
      </c>
      <c r="AH31" s="6" t="s">
        <v>31</v>
      </c>
      <c r="AI31" s="6" t="s">
        <v>31</v>
      </c>
      <c r="AJ31" s="6" t="s">
        <v>247</v>
      </c>
      <c r="AK31" s="6" t="s">
        <v>25</v>
      </c>
      <c r="AL31" s="6" t="s">
        <v>36</v>
      </c>
      <c r="AM31" s="6" t="s">
        <v>25</v>
      </c>
      <c r="AN31" s="6" t="s">
        <v>36</v>
      </c>
      <c r="AO31" s="23" t="s">
        <v>31</v>
      </c>
      <c r="AP31" s="6" t="s">
        <v>36</v>
      </c>
      <c r="AQ31" s="23" t="s">
        <v>577</v>
      </c>
      <c r="AR31" s="6" t="s">
        <v>36</v>
      </c>
      <c r="AS31" s="23" t="s">
        <v>559</v>
      </c>
      <c r="AT31" s="6" t="s">
        <v>36</v>
      </c>
      <c r="AU31" s="6" t="s">
        <v>362</v>
      </c>
      <c r="AV31" s="6" t="s">
        <v>415</v>
      </c>
    </row>
    <row r="32" spans="1:48" x14ac:dyDescent="0.25">
      <c r="A32" t="s">
        <v>165</v>
      </c>
      <c r="B32" t="s">
        <v>21</v>
      </c>
      <c r="C32" t="s">
        <v>31</v>
      </c>
      <c r="D32" t="s">
        <v>31</v>
      </c>
      <c r="E32" t="s">
        <v>31</v>
      </c>
      <c r="F32" t="s">
        <v>31</v>
      </c>
      <c r="G32" s="1" t="s">
        <v>203</v>
      </c>
      <c r="H32" s="1" t="s">
        <v>204</v>
      </c>
      <c r="I32" t="s">
        <v>31</v>
      </c>
      <c r="J32" t="s">
        <v>31</v>
      </c>
      <c r="K32" s="1" t="s">
        <v>208</v>
      </c>
      <c r="L32" t="s">
        <v>166</v>
      </c>
      <c r="M32" t="s">
        <v>254</v>
      </c>
      <c r="N32" t="s">
        <v>214</v>
      </c>
      <c r="Q32" t="s">
        <v>36</v>
      </c>
      <c r="S32" t="s">
        <v>247</v>
      </c>
      <c r="W32" t="s">
        <v>247</v>
      </c>
      <c r="X32" t="s">
        <v>214</v>
      </c>
      <c r="Y32" t="s">
        <v>31</v>
      </c>
      <c r="Z32" t="s">
        <v>25</v>
      </c>
      <c r="AA32" t="s">
        <v>31</v>
      </c>
      <c r="AB32" t="s">
        <v>25</v>
      </c>
      <c r="AC32" t="s">
        <v>36</v>
      </c>
      <c r="AD32" t="s">
        <v>36</v>
      </c>
      <c r="AE32" t="s">
        <v>36</v>
      </c>
      <c r="AF32" t="s">
        <v>247</v>
      </c>
      <c r="AG32" s="22" t="s">
        <v>31</v>
      </c>
      <c r="AH32" s="6" t="s">
        <v>25</v>
      </c>
      <c r="AI32" s="6" t="s">
        <v>25</v>
      </c>
      <c r="AJ32" s="6" t="s">
        <v>36</v>
      </c>
      <c r="AK32" s="6" t="s">
        <v>25</v>
      </c>
      <c r="AL32" s="6" t="s">
        <v>36</v>
      </c>
      <c r="AM32" s="6" t="s">
        <v>25</v>
      </c>
      <c r="AN32" s="6" t="s">
        <v>36</v>
      </c>
      <c r="AO32" s="23" t="s">
        <v>31</v>
      </c>
      <c r="AP32" s="6" t="s">
        <v>36</v>
      </c>
      <c r="AQ32" s="23" t="s">
        <v>579</v>
      </c>
      <c r="AR32" s="6" t="s">
        <v>36</v>
      </c>
      <c r="AS32" s="23" t="s">
        <v>578</v>
      </c>
      <c r="AT32" s="6" t="s">
        <v>36</v>
      </c>
      <c r="AU32" s="6" t="s">
        <v>389</v>
      </c>
      <c r="AV32" s="6" t="s">
        <v>36</v>
      </c>
    </row>
    <row r="33" spans="1:48" x14ac:dyDescent="0.25">
      <c r="A33" t="s">
        <v>168</v>
      </c>
      <c r="B33" t="s">
        <v>21</v>
      </c>
      <c r="C33" t="s">
        <v>31</v>
      </c>
      <c r="D33" t="s">
        <v>31</v>
      </c>
      <c r="E33" t="s">
        <v>31</v>
      </c>
      <c r="F33" t="s">
        <v>31</v>
      </c>
      <c r="G33" s="1" t="s">
        <v>216</v>
      </c>
      <c r="H33" s="1" t="s">
        <v>217</v>
      </c>
      <c r="I33" t="s">
        <v>31</v>
      </c>
      <c r="J33" t="s">
        <v>31</v>
      </c>
      <c r="K33" s="1" t="s">
        <v>218</v>
      </c>
      <c r="L33" t="s">
        <v>36</v>
      </c>
      <c r="M33" t="s">
        <v>255</v>
      </c>
      <c r="N33" t="s">
        <v>215</v>
      </c>
      <c r="Q33" t="s">
        <v>36</v>
      </c>
      <c r="S33" t="s">
        <v>247</v>
      </c>
      <c r="W33" t="s">
        <v>247</v>
      </c>
      <c r="X33" t="s">
        <v>215</v>
      </c>
      <c r="Y33" t="s">
        <v>31</v>
      </c>
      <c r="Z33" t="s">
        <v>25</v>
      </c>
      <c r="AA33" t="s">
        <v>31</v>
      </c>
      <c r="AB33" t="s">
        <v>25</v>
      </c>
      <c r="AC33" t="s">
        <v>36</v>
      </c>
      <c r="AD33" t="s">
        <v>36</v>
      </c>
      <c r="AE33" t="s">
        <v>36</v>
      </c>
      <c r="AF33" t="s">
        <v>247</v>
      </c>
      <c r="AG33" t="s">
        <v>247</v>
      </c>
      <c r="AH33" s="6" t="s">
        <v>25</v>
      </c>
      <c r="AI33" s="6" t="s">
        <v>25</v>
      </c>
      <c r="AJ33" s="6" t="s">
        <v>36</v>
      </c>
      <c r="AK33" s="6" t="s">
        <v>25</v>
      </c>
      <c r="AL33" s="6" t="s">
        <v>36</v>
      </c>
      <c r="AM33" s="6" t="s">
        <v>25</v>
      </c>
      <c r="AN33" s="6" t="s">
        <v>36</v>
      </c>
      <c r="AO33" s="6" t="s">
        <v>31</v>
      </c>
      <c r="AP33" s="6" t="s">
        <v>425</v>
      </c>
      <c r="AQ33" s="6" t="s">
        <v>461</v>
      </c>
      <c r="AR33" s="6" t="s">
        <v>462</v>
      </c>
      <c r="AS33" s="6" t="s">
        <v>493</v>
      </c>
      <c r="AT33" s="1" t="s">
        <v>463</v>
      </c>
      <c r="AU33" s="6" t="s">
        <v>390</v>
      </c>
      <c r="AV33" s="6" t="s">
        <v>36</v>
      </c>
    </row>
    <row r="34" spans="1:48" x14ac:dyDescent="0.25">
      <c r="A34" t="s">
        <v>169</v>
      </c>
      <c r="B34" t="s">
        <v>21</v>
      </c>
      <c r="C34" t="s">
        <v>31</v>
      </c>
      <c r="D34" t="s">
        <v>31</v>
      </c>
      <c r="E34" t="s">
        <v>31</v>
      </c>
      <c r="F34" t="s">
        <v>31</v>
      </c>
      <c r="G34" s="1" t="s">
        <v>221</v>
      </c>
      <c r="H34" s="1" t="s">
        <v>222</v>
      </c>
      <c r="I34" t="s">
        <v>31</v>
      </c>
      <c r="J34" t="s">
        <v>31</v>
      </c>
      <c r="K34" s="1" t="s">
        <v>219</v>
      </c>
      <c r="L34" t="s">
        <v>36</v>
      </c>
      <c r="M34" t="s">
        <v>555</v>
      </c>
      <c r="N34" t="s">
        <v>220</v>
      </c>
      <c r="Q34" t="s">
        <v>36</v>
      </c>
      <c r="S34" t="s">
        <v>333</v>
      </c>
      <c r="W34" t="s">
        <v>333</v>
      </c>
      <c r="X34" t="s">
        <v>220</v>
      </c>
      <c r="Y34" t="s">
        <v>31</v>
      </c>
      <c r="Z34" t="s">
        <v>25</v>
      </c>
      <c r="AA34" t="s">
        <v>31</v>
      </c>
      <c r="AB34" t="s">
        <v>25</v>
      </c>
      <c r="AC34" t="s">
        <v>36</v>
      </c>
      <c r="AD34" t="s">
        <v>36</v>
      </c>
      <c r="AE34" t="s">
        <v>36</v>
      </c>
      <c r="AF34" t="s">
        <v>31</v>
      </c>
      <c r="AG34" t="s">
        <v>247</v>
      </c>
      <c r="AH34" s="6" t="s">
        <v>25</v>
      </c>
      <c r="AI34" s="6" t="s">
        <v>25</v>
      </c>
      <c r="AJ34" s="6" t="s">
        <v>36</v>
      </c>
      <c r="AK34" s="6" t="s">
        <v>25</v>
      </c>
      <c r="AL34" s="6" t="s">
        <v>36</v>
      </c>
      <c r="AM34" s="6" t="s">
        <v>25</v>
      </c>
      <c r="AN34" s="6" t="s">
        <v>36</v>
      </c>
      <c r="AO34" s="6" t="s">
        <v>31</v>
      </c>
      <c r="AP34" s="6" t="s">
        <v>423</v>
      </c>
      <c r="AQ34" s="6" t="s">
        <v>442</v>
      </c>
      <c r="AR34" s="6" t="s">
        <v>441</v>
      </c>
      <c r="AS34" s="6" t="s">
        <v>491</v>
      </c>
      <c r="AT34" s="1" t="s">
        <v>464</v>
      </c>
      <c r="AU34" s="6" t="s">
        <v>375</v>
      </c>
      <c r="AV34" s="6" t="s">
        <v>36</v>
      </c>
    </row>
    <row r="35" spans="1:48" x14ac:dyDescent="0.25">
      <c r="A35" t="s">
        <v>23</v>
      </c>
      <c r="B35" t="s">
        <v>21</v>
      </c>
      <c r="C35" t="s">
        <v>31</v>
      </c>
      <c r="D35" t="s">
        <v>31</v>
      </c>
      <c r="E35" t="s">
        <v>31</v>
      </c>
      <c r="F35" t="s">
        <v>31</v>
      </c>
      <c r="G35" s="1" t="s">
        <v>227</v>
      </c>
      <c r="H35" s="1" t="s">
        <v>228</v>
      </c>
      <c r="I35" t="s">
        <v>31</v>
      </c>
      <c r="J35" t="s">
        <v>31</v>
      </c>
      <c r="K35" s="1" t="s">
        <v>205</v>
      </c>
      <c r="L35" t="s">
        <v>36</v>
      </c>
      <c r="M35" t="s">
        <v>257</v>
      </c>
      <c r="N35" t="s">
        <v>155</v>
      </c>
      <c r="Q35" t="s">
        <v>36</v>
      </c>
      <c r="S35">
        <v>2016</v>
      </c>
      <c r="U35" t="s">
        <v>257</v>
      </c>
      <c r="V35" s="9" t="s">
        <v>257</v>
      </c>
      <c r="W35" t="s">
        <v>331</v>
      </c>
      <c r="X35" t="s">
        <v>155</v>
      </c>
      <c r="Y35" t="s">
        <v>31</v>
      </c>
      <c r="Z35" t="s">
        <v>25</v>
      </c>
      <c r="AA35" t="s">
        <v>31</v>
      </c>
      <c r="AB35" t="s">
        <v>25</v>
      </c>
      <c r="AC35" s="22" t="s">
        <v>31</v>
      </c>
      <c r="AD35" s="22" t="s">
        <v>31</v>
      </c>
      <c r="AE35" s="22" t="s">
        <v>31</v>
      </c>
      <c r="AF35" t="s">
        <v>31</v>
      </c>
      <c r="AG35" s="22" t="s">
        <v>31</v>
      </c>
      <c r="AH35" s="6" t="s">
        <v>25</v>
      </c>
      <c r="AI35" s="6" t="s">
        <v>25</v>
      </c>
      <c r="AJ35" s="6" t="s">
        <v>36</v>
      </c>
      <c r="AK35" s="6" t="s">
        <v>25</v>
      </c>
      <c r="AL35" s="6" t="s">
        <v>36</v>
      </c>
      <c r="AM35" s="6" t="s">
        <v>25</v>
      </c>
      <c r="AN35" s="6" t="s">
        <v>36</v>
      </c>
      <c r="AO35" s="23" t="s">
        <v>31</v>
      </c>
      <c r="AP35" s="6" t="s">
        <v>36</v>
      </c>
      <c r="AQ35" s="23" t="s">
        <v>580</v>
      </c>
      <c r="AR35" s="6" t="s">
        <v>36</v>
      </c>
      <c r="AS35" s="23" t="s">
        <v>581</v>
      </c>
      <c r="AT35" s="6" t="s">
        <v>36</v>
      </c>
      <c r="AU35" t="s">
        <v>384</v>
      </c>
      <c r="AV35" s="6" t="s">
        <v>36</v>
      </c>
    </row>
    <row r="36" spans="1:48" x14ac:dyDescent="0.25">
      <c r="A36" t="s">
        <v>174</v>
      </c>
      <c r="B36" t="s">
        <v>2</v>
      </c>
      <c r="C36" t="s">
        <v>31</v>
      </c>
      <c r="D36" t="s">
        <v>31</v>
      </c>
      <c r="E36" t="s">
        <v>25</v>
      </c>
      <c r="F36" t="s">
        <v>31</v>
      </c>
      <c r="G36" s="1" t="s">
        <v>231</v>
      </c>
      <c r="H36" t="s">
        <v>36</v>
      </c>
      <c r="I36" t="s">
        <v>31</v>
      </c>
      <c r="J36" t="s">
        <v>31</v>
      </c>
      <c r="K36" s="1" t="s">
        <v>231</v>
      </c>
      <c r="L36" t="s">
        <v>36</v>
      </c>
      <c r="M36" t="s">
        <v>260</v>
      </c>
      <c r="N36" t="s">
        <v>119</v>
      </c>
      <c r="Q36" t="s">
        <v>274</v>
      </c>
      <c r="S36" t="s">
        <v>318</v>
      </c>
      <c r="U36" t="s">
        <v>260</v>
      </c>
      <c r="V36" s="9" t="s">
        <v>260</v>
      </c>
      <c r="W36" t="s">
        <v>318</v>
      </c>
      <c r="X36" t="s">
        <v>119</v>
      </c>
      <c r="Y36" t="s">
        <v>31</v>
      </c>
      <c r="Z36" s="22" t="s">
        <v>31</v>
      </c>
      <c r="AA36" t="s">
        <v>31</v>
      </c>
      <c r="AB36" t="s">
        <v>31</v>
      </c>
      <c r="AC36" t="s">
        <v>25</v>
      </c>
      <c r="AD36" t="s">
        <v>25</v>
      </c>
      <c r="AE36" t="s">
        <v>36</v>
      </c>
      <c r="AF36" t="s">
        <v>247</v>
      </c>
      <c r="AG36" t="s">
        <v>31</v>
      </c>
      <c r="AH36" s="6" t="s">
        <v>25</v>
      </c>
      <c r="AI36" s="6" t="s">
        <v>25</v>
      </c>
      <c r="AJ36" s="6" t="s">
        <v>36</v>
      </c>
      <c r="AK36" s="6" t="s">
        <v>25</v>
      </c>
      <c r="AL36" s="6" t="s">
        <v>36</v>
      </c>
      <c r="AM36" s="6" t="s">
        <v>25</v>
      </c>
      <c r="AN36" s="6" t="s">
        <v>36</v>
      </c>
      <c r="AO36" s="6" t="s">
        <v>31</v>
      </c>
      <c r="AP36" s="6" t="s">
        <v>423</v>
      </c>
      <c r="AQ36" s="6" t="s">
        <v>465</v>
      </c>
      <c r="AR36" s="6" t="s">
        <v>466</v>
      </c>
      <c r="AS36" s="6" t="s">
        <v>334</v>
      </c>
      <c r="AT36" s="1" t="s">
        <v>467</v>
      </c>
      <c r="AU36" s="6" t="s">
        <v>391</v>
      </c>
      <c r="AV36" s="6" t="s">
        <v>416</v>
      </c>
    </row>
    <row r="37" spans="1:48" x14ac:dyDescent="0.25">
      <c r="A37" t="s">
        <v>175</v>
      </c>
      <c r="B37" t="s">
        <v>2</v>
      </c>
      <c r="C37" t="s">
        <v>31</v>
      </c>
      <c r="D37" t="s">
        <v>31</v>
      </c>
      <c r="E37" t="s">
        <v>25</v>
      </c>
      <c r="F37" t="s">
        <v>31</v>
      </c>
      <c r="G37" s="1" t="s">
        <v>232</v>
      </c>
      <c r="H37" t="s">
        <v>36</v>
      </c>
      <c r="I37" t="s">
        <v>31</v>
      </c>
      <c r="J37" t="s">
        <v>31</v>
      </c>
      <c r="K37" s="1" t="s">
        <v>232</v>
      </c>
      <c r="L37" t="s">
        <v>36</v>
      </c>
      <c r="M37" t="s">
        <v>259</v>
      </c>
      <c r="N37" t="s">
        <v>119</v>
      </c>
      <c r="O37" s="22">
        <v>1</v>
      </c>
      <c r="Q37" t="s">
        <v>274</v>
      </c>
      <c r="S37" t="s">
        <v>318</v>
      </c>
      <c r="U37" t="s">
        <v>313</v>
      </c>
      <c r="V37" s="9" t="s">
        <v>313</v>
      </c>
      <c r="W37" t="s">
        <v>318</v>
      </c>
      <c r="X37" t="s">
        <v>119</v>
      </c>
      <c r="Y37" t="s">
        <v>31</v>
      </c>
      <c r="Z37" s="22" t="s">
        <v>31</v>
      </c>
      <c r="AA37" t="s">
        <v>31</v>
      </c>
      <c r="AB37" t="s">
        <v>31</v>
      </c>
      <c r="AC37" t="s">
        <v>25</v>
      </c>
      <c r="AD37" t="s">
        <v>25</v>
      </c>
      <c r="AE37" t="s">
        <v>36</v>
      </c>
      <c r="AF37" t="s">
        <v>247</v>
      </c>
      <c r="AG37" t="s">
        <v>31</v>
      </c>
      <c r="AH37" s="6" t="s">
        <v>25</v>
      </c>
      <c r="AI37" s="6" t="s">
        <v>25</v>
      </c>
      <c r="AJ37" s="6" t="s">
        <v>36</v>
      </c>
      <c r="AK37" s="6" t="s">
        <v>25</v>
      </c>
      <c r="AL37" s="6" t="s">
        <v>36</v>
      </c>
      <c r="AM37" s="6" t="s">
        <v>25</v>
      </c>
      <c r="AN37" s="6" t="s">
        <v>36</v>
      </c>
      <c r="AO37" s="6" t="s">
        <v>31</v>
      </c>
      <c r="AP37" s="6" t="s">
        <v>423</v>
      </c>
      <c r="AQ37" s="6" t="s">
        <v>465</v>
      </c>
      <c r="AR37" s="6" t="s">
        <v>466</v>
      </c>
      <c r="AS37" s="6" t="s">
        <v>334</v>
      </c>
      <c r="AT37" s="1" t="s">
        <v>467</v>
      </c>
      <c r="AU37" s="6" t="s">
        <v>391</v>
      </c>
      <c r="AV37" s="6" t="s">
        <v>417</v>
      </c>
    </row>
    <row r="38" spans="1:48" x14ac:dyDescent="0.25">
      <c r="A38" s="12" t="s">
        <v>176</v>
      </c>
      <c r="B38" t="s">
        <v>2</v>
      </c>
      <c r="C38" t="s">
        <v>31</v>
      </c>
      <c r="D38" t="s">
        <v>31</v>
      </c>
      <c r="E38" t="s">
        <v>25</v>
      </c>
      <c r="F38" t="s">
        <v>31</v>
      </c>
      <c r="G38" s="1" t="s">
        <v>233</v>
      </c>
      <c r="H38" t="s">
        <v>36</v>
      </c>
      <c r="I38" t="s">
        <v>31</v>
      </c>
      <c r="J38" t="s">
        <v>31</v>
      </c>
      <c r="K38" s="1" t="s">
        <v>233</v>
      </c>
      <c r="L38" t="s">
        <v>36</v>
      </c>
      <c r="M38" t="s">
        <v>329</v>
      </c>
      <c r="N38" t="s">
        <v>234</v>
      </c>
      <c r="Q38" t="s">
        <v>247</v>
      </c>
      <c r="S38" t="s">
        <v>247</v>
      </c>
      <c r="U38" t="s">
        <v>330</v>
      </c>
      <c r="W38" t="s">
        <v>247</v>
      </c>
      <c r="X38" t="s">
        <v>234</v>
      </c>
      <c r="Y38" t="s">
        <v>31</v>
      </c>
      <c r="Z38" t="s">
        <v>31</v>
      </c>
      <c r="AA38" t="s">
        <v>247</v>
      </c>
      <c r="AB38" t="s">
        <v>247</v>
      </c>
      <c r="AC38" t="s">
        <v>25</v>
      </c>
      <c r="AD38" t="s">
        <v>247</v>
      </c>
      <c r="AE38" t="s">
        <v>247</v>
      </c>
      <c r="AF38" t="s">
        <v>247</v>
      </c>
      <c r="AG38" t="s">
        <v>247</v>
      </c>
      <c r="AH38" s="6" t="s">
        <v>25</v>
      </c>
      <c r="AI38" s="6" t="s">
        <v>25</v>
      </c>
      <c r="AJ38" s="6" t="s">
        <v>36</v>
      </c>
      <c r="AK38" s="6" t="s">
        <v>25</v>
      </c>
      <c r="AL38" s="6" t="s">
        <v>36</v>
      </c>
      <c r="AM38" s="6" t="s">
        <v>25</v>
      </c>
      <c r="AN38" s="6" t="s">
        <v>36</v>
      </c>
      <c r="AO38" s="6" t="s">
        <v>247</v>
      </c>
      <c r="AP38" s="6" t="s">
        <v>247</v>
      </c>
      <c r="AQ38" s="6" t="s">
        <v>247</v>
      </c>
      <c r="AR38" s="6" t="s">
        <v>247</v>
      </c>
      <c r="AS38" s="6" t="s">
        <v>247</v>
      </c>
      <c r="AT38" s="6" t="s">
        <v>247</v>
      </c>
      <c r="AU38" s="6" t="s">
        <v>247</v>
      </c>
      <c r="AV38" s="6" t="s">
        <v>247</v>
      </c>
    </row>
    <row r="39" spans="1:48" x14ac:dyDescent="0.25">
      <c r="A39" s="12" t="s">
        <v>177</v>
      </c>
      <c r="B39" t="s">
        <v>10</v>
      </c>
      <c r="C39" t="s">
        <v>236</v>
      </c>
      <c r="D39" t="s">
        <v>248</v>
      </c>
      <c r="E39" s="22" t="s">
        <v>25</v>
      </c>
      <c r="F39" t="s">
        <v>25</v>
      </c>
      <c r="G39" t="s">
        <v>36</v>
      </c>
      <c r="H39" t="s">
        <v>36</v>
      </c>
      <c r="I39" t="s">
        <v>31</v>
      </c>
      <c r="J39" t="s">
        <v>25</v>
      </c>
      <c r="K39" t="s">
        <v>36</v>
      </c>
      <c r="L39" t="s">
        <v>36</v>
      </c>
      <c r="M39" t="s">
        <v>264</v>
      </c>
      <c r="N39" t="s">
        <v>235</v>
      </c>
      <c r="O39">
        <v>1</v>
      </c>
      <c r="Q39" t="s">
        <v>36</v>
      </c>
      <c r="S39" t="s">
        <v>247</v>
      </c>
      <c r="U39" t="s">
        <v>264</v>
      </c>
      <c r="V39" s="9" t="s">
        <v>264</v>
      </c>
      <c r="W39" t="s">
        <v>247</v>
      </c>
      <c r="X39" t="s">
        <v>235</v>
      </c>
      <c r="Y39" t="s">
        <v>36</v>
      </c>
      <c r="Z39" t="s">
        <v>247</v>
      </c>
      <c r="AA39" t="s">
        <v>36</v>
      </c>
      <c r="AB39" t="s">
        <v>36</v>
      </c>
      <c r="AC39" t="s">
        <v>36</v>
      </c>
      <c r="AD39" t="s">
        <v>36</v>
      </c>
      <c r="AE39" t="s">
        <v>36</v>
      </c>
      <c r="AF39" t="s">
        <v>247</v>
      </c>
      <c r="AG39" t="s">
        <v>247</v>
      </c>
      <c r="AH39" s="6" t="s">
        <v>25</v>
      </c>
      <c r="AI39" s="6" t="s">
        <v>25</v>
      </c>
      <c r="AJ39" s="6" t="s">
        <v>36</v>
      </c>
      <c r="AK39" s="6" t="s">
        <v>25</v>
      </c>
      <c r="AL39" s="6" t="s">
        <v>36</v>
      </c>
      <c r="AM39" s="6" t="s">
        <v>25</v>
      </c>
      <c r="AN39" s="6" t="s">
        <v>36</v>
      </c>
      <c r="AO39" s="6" t="s">
        <v>31</v>
      </c>
      <c r="AP39" s="6" t="s">
        <v>585</v>
      </c>
      <c r="AQ39" s="6" t="s">
        <v>582</v>
      </c>
      <c r="AR39" s="6" t="s">
        <v>583</v>
      </c>
      <c r="AS39" s="6" t="s">
        <v>584</v>
      </c>
      <c r="AT39" s="1" t="s">
        <v>594</v>
      </c>
      <c r="AU39" s="6" t="s">
        <v>392</v>
      </c>
      <c r="AV39" s="6" t="s">
        <v>418</v>
      </c>
    </row>
    <row r="40" spans="1:48" x14ac:dyDescent="0.25">
      <c r="A40" t="s">
        <v>237</v>
      </c>
      <c r="B40" t="s">
        <v>10</v>
      </c>
      <c r="C40" t="s">
        <v>236</v>
      </c>
      <c r="D40" t="s">
        <v>31</v>
      </c>
      <c r="E40" t="s">
        <v>31</v>
      </c>
      <c r="F40" t="s">
        <v>25</v>
      </c>
      <c r="G40" t="s">
        <v>36</v>
      </c>
      <c r="H40" t="s">
        <v>36</v>
      </c>
      <c r="I40" t="s">
        <v>31</v>
      </c>
      <c r="J40" t="s">
        <v>25</v>
      </c>
      <c r="K40" t="s">
        <v>36</v>
      </c>
      <c r="L40" t="s">
        <v>36</v>
      </c>
      <c r="M40" t="s">
        <v>265</v>
      </c>
      <c r="N40" t="s">
        <v>275</v>
      </c>
      <c r="O40">
        <v>1</v>
      </c>
      <c r="Q40" t="s">
        <v>36</v>
      </c>
      <c r="S40" s="11" t="s">
        <v>247</v>
      </c>
      <c r="U40" t="s">
        <v>265</v>
      </c>
      <c r="V40" s="9" t="s">
        <v>265</v>
      </c>
      <c r="W40" t="s">
        <v>334</v>
      </c>
      <c r="X40" s="11" t="s">
        <v>275</v>
      </c>
      <c r="Y40" s="19" t="s">
        <v>36</v>
      </c>
      <c r="Z40" t="s">
        <v>25</v>
      </c>
      <c r="AA40" t="s">
        <v>31</v>
      </c>
      <c r="AB40" t="s">
        <v>31</v>
      </c>
      <c r="AC40" t="s">
        <v>31</v>
      </c>
      <c r="AD40" s="22" t="s">
        <v>31</v>
      </c>
      <c r="AE40" t="s">
        <v>31</v>
      </c>
      <c r="AF40" t="s">
        <v>31</v>
      </c>
      <c r="AG40" t="s">
        <v>31</v>
      </c>
      <c r="AH40" s="6" t="s">
        <v>31</v>
      </c>
      <c r="AI40" s="6" t="s">
        <v>31</v>
      </c>
      <c r="AJ40" s="6" t="s">
        <v>247</v>
      </c>
      <c r="AK40" s="6" t="s">
        <v>25</v>
      </c>
      <c r="AL40" s="6" t="s">
        <v>36</v>
      </c>
      <c r="AM40" s="6" t="s">
        <v>25</v>
      </c>
      <c r="AN40" s="6" t="s">
        <v>36</v>
      </c>
      <c r="AO40" s="6" t="s">
        <v>31</v>
      </c>
      <c r="AP40" s="6" t="s">
        <v>422</v>
      </c>
      <c r="AQ40" s="6" t="s">
        <v>470</v>
      </c>
      <c r="AR40" s="6" t="s">
        <v>469</v>
      </c>
      <c r="AS40" s="6" t="s">
        <v>116</v>
      </c>
      <c r="AT40" s="1" t="s">
        <v>468</v>
      </c>
      <c r="AU40" s="6" t="s">
        <v>393</v>
      </c>
      <c r="AV40" s="6" t="s">
        <v>419</v>
      </c>
    </row>
    <row r="41" spans="1:48" x14ac:dyDescent="0.25">
      <c r="A41" t="s">
        <v>178</v>
      </c>
      <c r="B41" t="s">
        <v>10</v>
      </c>
      <c r="C41" t="s">
        <v>236</v>
      </c>
      <c r="D41" t="s">
        <v>31</v>
      </c>
      <c r="E41" t="s">
        <v>31</v>
      </c>
      <c r="F41" t="s">
        <v>25</v>
      </c>
      <c r="G41" t="s">
        <v>36</v>
      </c>
      <c r="H41" t="s">
        <v>36</v>
      </c>
      <c r="I41" t="s">
        <v>31</v>
      </c>
      <c r="J41" t="s">
        <v>25</v>
      </c>
      <c r="K41" t="s">
        <v>36</v>
      </c>
      <c r="L41" t="s">
        <v>36</v>
      </c>
      <c r="M41" t="s">
        <v>266</v>
      </c>
      <c r="N41" t="s">
        <v>276</v>
      </c>
      <c r="O41">
        <v>1</v>
      </c>
      <c r="Q41" t="s">
        <v>36</v>
      </c>
      <c r="S41" s="11" t="s">
        <v>247</v>
      </c>
      <c r="U41" t="s">
        <v>266</v>
      </c>
      <c r="V41" s="9" t="s">
        <v>266</v>
      </c>
      <c r="W41" t="s">
        <v>335</v>
      </c>
      <c r="X41" s="11" t="s">
        <v>276</v>
      </c>
      <c r="Y41" t="s">
        <v>31</v>
      </c>
      <c r="Z41" t="s">
        <v>25</v>
      </c>
      <c r="AA41" t="s">
        <v>31</v>
      </c>
      <c r="AB41" t="s">
        <v>31</v>
      </c>
      <c r="AC41" t="s">
        <v>31</v>
      </c>
      <c r="AD41" s="22" t="s">
        <v>31</v>
      </c>
      <c r="AE41" t="s">
        <v>31</v>
      </c>
      <c r="AF41" t="s">
        <v>31</v>
      </c>
      <c r="AG41" t="s">
        <v>31</v>
      </c>
      <c r="AH41" s="6" t="s">
        <v>25</v>
      </c>
      <c r="AI41" s="6" t="s">
        <v>25</v>
      </c>
      <c r="AJ41" s="6" t="s">
        <v>36</v>
      </c>
      <c r="AK41" s="6" t="s">
        <v>25</v>
      </c>
      <c r="AL41" s="6" t="s">
        <v>36</v>
      </c>
      <c r="AM41" s="6" t="s">
        <v>25</v>
      </c>
      <c r="AN41" s="6" t="s">
        <v>36</v>
      </c>
      <c r="AO41" s="6" t="s">
        <v>31</v>
      </c>
      <c r="AP41" s="6" t="s">
        <v>422</v>
      </c>
      <c r="AQ41" s="6" t="s">
        <v>470</v>
      </c>
      <c r="AR41" s="6" t="s">
        <v>469</v>
      </c>
      <c r="AS41" s="6" t="s">
        <v>116</v>
      </c>
      <c r="AT41" s="1" t="s">
        <v>468</v>
      </c>
      <c r="AU41" s="6" t="s">
        <v>393</v>
      </c>
      <c r="AV41" s="6" t="s">
        <v>420</v>
      </c>
    </row>
    <row r="42" spans="1:48" x14ac:dyDescent="0.25">
      <c r="A42" t="s">
        <v>182</v>
      </c>
      <c r="B42" t="s">
        <v>10</v>
      </c>
      <c r="C42" t="s">
        <v>236</v>
      </c>
      <c r="D42" t="s">
        <v>31</v>
      </c>
      <c r="E42" t="s">
        <v>31</v>
      </c>
      <c r="F42" t="s">
        <v>25</v>
      </c>
      <c r="G42" t="s">
        <v>36</v>
      </c>
      <c r="H42" t="s">
        <v>36</v>
      </c>
      <c r="I42" t="s">
        <v>31</v>
      </c>
      <c r="J42" t="s">
        <v>25</v>
      </c>
      <c r="K42" t="s">
        <v>36</v>
      </c>
      <c r="L42" t="s">
        <v>36</v>
      </c>
      <c r="M42" t="s">
        <v>268</v>
      </c>
      <c r="N42" t="s">
        <v>239</v>
      </c>
      <c r="Q42" t="s">
        <v>36</v>
      </c>
      <c r="S42" t="s">
        <v>314</v>
      </c>
      <c r="U42" t="s">
        <v>268</v>
      </c>
      <c r="V42" s="9" t="s">
        <v>268</v>
      </c>
      <c r="W42" t="s">
        <v>336</v>
      </c>
      <c r="X42" t="s">
        <v>239</v>
      </c>
      <c r="Y42" s="21" t="s">
        <v>36</v>
      </c>
      <c r="Z42" t="s">
        <v>25</v>
      </c>
      <c r="AA42" t="s">
        <v>31</v>
      </c>
      <c r="AB42" t="s">
        <v>25</v>
      </c>
      <c r="AC42" t="s">
        <v>36</v>
      </c>
      <c r="AD42" t="s">
        <v>36</v>
      </c>
      <c r="AE42" t="s">
        <v>36</v>
      </c>
      <c r="AF42" t="s">
        <v>247</v>
      </c>
      <c r="AG42" s="22" t="s">
        <v>31</v>
      </c>
      <c r="AH42" s="6" t="s">
        <v>25</v>
      </c>
      <c r="AI42" s="6" t="s">
        <v>25</v>
      </c>
      <c r="AJ42" s="6" t="s">
        <v>36</v>
      </c>
      <c r="AK42" s="6" t="s">
        <v>25</v>
      </c>
      <c r="AL42" s="6" t="s">
        <v>36</v>
      </c>
      <c r="AM42" s="6" t="s">
        <v>25</v>
      </c>
      <c r="AN42" s="6" t="s">
        <v>36</v>
      </c>
      <c r="AO42" s="6" t="s">
        <v>31</v>
      </c>
      <c r="AP42" s="6" t="s">
        <v>422</v>
      </c>
      <c r="AQ42" s="6" t="s">
        <v>451</v>
      </c>
      <c r="AR42" s="6" t="s">
        <v>452</v>
      </c>
      <c r="AS42" s="6" t="s">
        <v>492</v>
      </c>
      <c r="AT42" s="1" t="s">
        <v>471</v>
      </c>
      <c r="AU42" s="6" t="s">
        <v>381</v>
      </c>
      <c r="AV42" s="6" t="s">
        <v>36</v>
      </c>
    </row>
    <row r="43" spans="1:48" x14ac:dyDescent="0.25">
      <c r="A43" t="s">
        <v>183</v>
      </c>
      <c r="B43" t="s">
        <v>10</v>
      </c>
      <c r="C43" t="s">
        <v>236</v>
      </c>
      <c r="D43" t="s">
        <v>31</v>
      </c>
      <c r="E43" t="s">
        <v>31</v>
      </c>
      <c r="F43" t="s">
        <v>25</v>
      </c>
      <c r="G43" t="s">
        <v>36</v>
      </c>
      <c r="H43" t="s">
        <v>36</v>
      </c>
      <c r="I43" t="s">
        <v>31</v>
      </c>
      <c r="J43" t="s">
        <v>25</v>
      </c>
      <c r="K43" t="s">
        <v>36</v>
      </c>
      <c r="L43" t="s">
        <v>36</v>
      </c>
      <c r="M43" t="s">
        <v>269</v>
      </c>
      <c r="N43" t="s">
        <v>239</v>
      </c>
      <c r="Q43" t="s">
        <v>36</v>
      </c>
      <c r="S43" t="s">
        <v>314</v>
      </c>
      <c r="U43" t="s">
        <v>269</v>
      </c>
      <c r="V43" s="9" t="s">
        <v>269</v>
      </c>
      <c r="W43" t="s">
        <v>336</v>
      </c>
      <c r="X43" t="s">
        <v>239</v>
      </c>
      <c r="Y43" t="s">
        <v>31</v>
      </c>
      <c r="Z43" t="s">
        <v>25</v>
      </c>
      <c r="AA43" t="s">
        <v>31</v>
      </c>
      <c r="AB43" t="s">
        <v>25</v>
      </c>
      <c r="AC43" t="s">
        <v>36</v>
      </c>
      <c r="AD43" t="s">
        <v>36</v>
      </c>
      <c r="AE43" t="s">
        <v>36</v>
      </c>
      <c r="AF43" t="s">
        <v>247</v>
      </c>
      <c r="AG43" s="22" t="s">
        <v>31</v>
      </c>
      <c r="AH43" s="6" t="s">
        <v>31</v>
      </c>
      <c r="AI43" s="6" t="s">
        <v>31</v>
      </c>
      <c r="AJ43" s="6" t="s">
        <v>354</v>
      </c>
      <c r="AK43" s="6" t="s">
        <v>25</v>
      </c>
      <c r="AL43" s="6" t="s">
        <v>36</v>
      </c>
      <c r="AM43" s="6" t="s">
        <v>25</v>
      </c>
      <c r="AN43" s="6" t="s">
        <v>36</v>
      </c>
      <c r="AO43" s="6" t="s">
        <v>31</v>
      </c>
      <c r="AP43" s="6" t="s">
        <v>423</v>
      </c>
      <c r="AQ43" s="6" t="s">
        <v>472</v>
      </c>
      <c r="AR43" s="6" t="s">
        <v>473</v>
      </c>
      <c r="AS43" s="6" t="s">
        <v>483</v>
      </c>
      <c r="AT43" s="1" t="s">
        <v>474</v>
      </c>
      <c r="AU43" s="6" t="s">
        <v>395</v>
      </c>
      <c r="AV43" s="6" t="s">
        <v>36</v>
      </c>
    </row>
    <row r="44" spans="1:48" x14ac:dyDescent="0.25">
      <c r="A44" t="s">
        <v>185</v>
      </c>
      <c r="B44" t="s">
        <v>10</v>
      </c>
      <c r="C44" t="s">
        <v>236</v>
      </c>
      <c r="D44" t="s">
        <v>31</v>
      </c>
      <c r="E44" t="s">
        <v>31</v>
      </c>
      <c r="F44" t="s">
        <v>25</v>
      </c>
      <c r="G44" t="s">
        <v>36</v>
      </c>
      <c r="H44" t="s">
        <v>36</v>
      </c>
      <c r="I44" t="s">
        <v>31</v>
      </c>
      <c r="J44" t="s">
        <v>25</v>
      </c>
      <c r="K44" t="s">
        <v>36</v>
      </c>
      <c r="L44" t="s">
        <v>36</v>
      </c>
      <c r="M44" t="s">
        <v>270</v>
      </c>
      <c r="N44" t="s">
        <v>240</v>
      </c>
      <c r="Q44" t="s">
        <v>36</v>
      </c>
      <c r="S44" t="s">
        <v>314</v>
      </c>
      <c r="U44" t="s">
        <v>270</v>
      </c>
      <c r="V44" s="9" t="s">
        <v>270</v>
      </c>
      <c r="W44" t="s">
        <v>336</v>
      </c>
      <c r="X44" t="s">
        <v>240</v>
      </c>
      <c r="Y44" t="s">
        <v>31</v>
      </c>
      <c r="Z44" t="s">
        <v>25</v>
      </c>
      <c r="AA44" t="s">
        <v>31</v>
      </c>
      <c r="AB44" t="s">
        <v>25</v>
      </c>
      <c r="AC44" t="s">
        <v>36</v>
      </c>
      <c r="AD44" t="s">
        <v>36</v>
      </c>
      <c r="AE44" t="s">
        <v>36</v>
      </c>
      <c r="AF44" t="s">
        <v>247</v>
      </c>
      <c r="AG44" s="22" t="s">
        <v>31</v>
      </c>
      <c r="AH44" s="6" t="s">
        <v>25</v>
      </c>
      <c r="AI44" s="6" t="s">
        <v>25</v>
      </c>
      <c r="AJ44" s="6" t="s">
        <v>36</v>
      </c>
      <c r="AK44" s="6" t="s">
        <v>25</v>
      </c>
      <c r="AL44" s="6" t="s">
        <v>36</v>
      </c>
      <c r="AM44" s="6" t="s">
        <v>25</v>
      </c>
      <c r="AN44" s="6" t="s">
        <v>36</v>
      </c>
      <c r="AO44" s="6" t="s">
        <v>31</v>
      </c>
      <c r="AP44" s="6" t="s">
        <v>423</v>
      </c>
      <c r="AQ44" s="6" t="s">
        <v>572</v>
      </c>
      <c r="AR44" s="6" t="s">
        <v>570</v>
      </c>
      <c r="AS44" s="6" t="s">
        <v>573</v>
      </c>
      <c r="AT44" s="1" t="s">
        <v>571</v>
      </c>
      <c r="AU44" s="6" t="s">
        <v>396</v>
      </c>
      <c r="AV44" s="6" t="s">
        <v>413</v>
      </c>
    </row>
    <row r="45" spans="1:48" x14ac:dyDescent="0.25">
      <c r="A45" t="s">
        <v>186</v>
      </c>
      <c r="B45" t="s">
        <v>10</v>
      </c>
      <c r="C45" t="s">
        <v>236</v>
      </c>
      <c r="D45" t="s">
        <v>31</v>
      </c>
      <c r="E45" t="s">
        <v>25</v>
      </c>
      <c r="F45" t="s">
        <v>25</v>
      </c>
      <c r="G45" t="s">
        <v>36</v>
      </c>
      <c r="H45" t="s">
        <v>36</v>
      </c>
      <c r="I45" t="s">
        <v>31</v>
      </c>
      <c r="J45" t="s">
        <v>25</v>
      </c>
      <c r="K45" t="s">
        <v>36</v>
      </c>
      <c r="L45" t="s">
        <v>36</v>
      </c>
      <c r="M45" t="s">
        <v>271</v>
      </c>
      <c r="N45" t="s">
        <v>241</v>
      </c>
      <c r="Q45" t="s">
        <v>36</v>
      </c>
      <c r="S45" s="19" t="s">
        <v>554</v>
      </c>
      <c r="U45" t="s">
        <v>271</v>
      </c>
      <c r="V45" s="20">
        <v>39965</v>
      </c>
      <c r="W45" t="s">
        <v>338</v>
      </c>
      <c r="X45" t="s">
        <v>241</v>
      </c>
      <c r="Y45" t="s">
        <v>31</v>
      </c>
      <c r="Z45" t="s">
        <v>31</v>
      </c>
      <c r="AA45" t="s">
        <v>31</v>
      </c>
      <c r="AB45" t="s">
        <v>31</v>
      </c>
      <c r="AC45" t="s">
        <v>25</v>
      </c>
      <c r="AD45" t="s">
        <v>25</v>
      </c>
      <c r="AE45" t="s">
        <v>36</v>
      </c>
      <c r="AF45" t="s">
        <v>247</v>
      </c>
      <c r="AG45" t="s">
        <v>31</v>
      </c>
      <c r="AH45" s="6" t="s">
        <v>25</v>
      </c>
      <c r="AI45" s="6" t="s">
        <v>25</v>
      </c>
      <c r="AJ45" s="6" t="s">
        <v>36</v>
      </c>
      <c r="AK45" s="6" t="s">
        <v>25</v>
      </c>
      <c r="AL45" s="6" t="s">
        <v>36</v>
      </c>
      <c r="AM45" s="6" t="s">
        <v>25</v>
      </c>
      <c r="AN45" s="6" t="s">
        <v>36</v>
      </c>
      <c r="AO45" s="6" t="s">
        <v>31</v>
      </c>
      <c r="AP45" s="6" t="s">
        <v>422</v>
      </c>
      <c r="AQ45" s="6" t="s">
        <v>460</v>
      </c>
      <c r="AR45" s="6" t="s">
        <v>459</v>
      </c>
      <c r="AS45" s="6" t="s">
        <v>482</v>
      </c>
      <c r="AT45" s="1" t="s">
        <v>478</v>
      </c>
      <c r="AU45" s="6" t="s">
        <v>397</v>
      </c>
      <c r="AV45" s="6" t="s">
        <v>414</v>
      </c>
    </row>
    <row r="46" spans="1:48" x14ac:dyDescent="0.25">
      <c r="A46" t="s">
        <v>188</v>
      </c>
      <c r="B46" t="s">
        <v>10</v>
      </c>
      <c r="C46" t="s">
        <v>236</v>
      </c>
      <c r="D46" t="s">
        <v>31</v>
      </c>
      <c r="E46" t="s">
        <v>25</v>
      </c>
      <c r="F46" t="s">
        <v>25</v>
      </c>
      <c r="G46" t="s">
        <v>36</v>
      </c>
      <c r="H46" t="s">
        <v>36</v>
      </c>
      <c r="I46" t="s">
        <v>31</v>
      </c>
      <c r="J46" t="s">
        <v>25</v>
      </c>
      <c r="K46" t="s">
        <v>36</v>
      </c>
      <c r="L46" t="s">
        <v>36</v>
      </c>
      <c r="M46" t="s">
        <v>273</v>
      </c>
      <c r="N46" t="s">
        <v>243</v>
      </c>
      <c r="Q46" t="s">
        <v>36</v>
      </c>
      <c r="S46" t="s">
        <v>339</v>
      </c>
      <c r="W46" t="s">
        <v>340</v>
      </c>
      <c r="X46" t="s">
        <v>243</v>
      </c>
      <c r="Y46" t="s">
        <v>31</v>
      </c>
      <c r="Z46" t="s">
        <v>31</v>
      </c>
      <c r="AA46" t="s">
        <v>31</v>
      </c>
      <c r="AB46" t="s">
        <v>31</v>
      </c>
      <c r="AC46" t="s">
        <v>25</v>
      </c>
      <c r="AD46" t="s">
        <v>25</v>
      </c>
      <c r="AE46" t="s">
        <v>36</v>
      </c>
      <c r="AF46" t="s">
        <v>247</v>
      </c>
      <c r="AG46" t="s">
        <v>31</v>
      </c>
      <c r="AH46" s="6" t="s">
        <v>31</v>
      </c>
      <c r="AI46" s="6" t="s">
        <v>31</v>
      </c>
      <c r="AJ46" s="6" t="s">
        <v>247</v>
      </c>
      <c r="AK46" s="6" t="s">
        <v>25</v>
      </c>
      <c r="AL46" t="s">
        <v>36</v>
      </c>
      <c r="AM46" s="6" t="s">
        <v>25</v>
      </c>
      <c r="AN46" s="6" t="s">
        <v>36</v>
      </c>
      <c r="AO46" s="6" t="s">
        <v>31</v>
      </c>
      <c r="AP46" s="6" t="s">
        <v>423</v>
      </c>
      <c r="AQ46" s="6" t="s">
        <v>475</v>
      </c>
      <c r="AR46" s="6" t="s">
        <v>476</v>
      </c>
      <c r="AS46" s="6" t="s">
        <v>331</v>
      </c>
      <c r="AT46" s="1" t="s">
        <v>477</v>
      </c>
      <c r="AU46" s="6" t="s">
        <v>399</v>
      </c>
      <c r="AV46" s="6" t="s">
        <v>421</v>
      </c>
    </row>
  </sheetData>
  <phoneticPr fontId="6" type="noConversion"/>
  <conditionalFormatting sqref="C33:C46">
    <cfRule type="cellIs" dxfId="11" priority="1" operator="equal">
      <formula>"No"</formula>
    </cfRule>
  </conditionalFormatting>
  <conditionalFormatting sqref="D1:D46">
    <cfRule type="cellIs" dxfId="10" priority="4" operator="equal">
      <formula>"No"</formula>
    </cfRule>
    <cfRule type="cellIs" dxfId="9" priority="6" operator="equal">
      <formula>"No?"</formula>
    </cfRule>
  </conditionalFormatting>
  <conditionalFormatting sqref="D33:D46">
    <cfRule type="cellIs" dxfId="8" priority="3" operator="equal">
      <formula>"??"</formula>
    </cfRule>
  </conditionalFormatting>
  <conditionalFormatting sqref="D36:D46">
    <cfRule type="cellIs" dxfId="7" priority="2" operator="equal">
      <formula>"-"</formula>
    </cfRule>
  </conditionalFormatting>
  <conditionalFormatting sqref="P1:P46">
    <cfRule type="cellIs" dxfId="6" priority="5" operator="equal">
      <formula>1</formula>
    </cfRule>
  </conditionalFormatting>
  <hyperlinks>
    <hyperlink ref="K2" r:id="rId1" xr:uid="{6F2012E1-9ECE-46BD-954C-8873F81AF984}"/>
    <hyperlink ref="K3" r:id="rId2" xr:uid="{EEA5CFD5-9950-4FDC-82BE-0BEB1CF6A5AA}"/>
    <hyperlink ref="G4" r:id="rId3" xr:uid="{91D0F26E-A061-4188-8F37-5A8E6F6CDA7C}"/>
    <hyperlink ref="H4" r:id="rId4" xr:uid="{EAC2466C-D462-4CEE-A0F9-79EE3A48E231}"/>
    <hyperlink ref="K4" r:id="rId5" xr:uid="{83BDAA73-52DE-46DF-93FB-CB4F132F950F}"/>
    <hyperlink ref="G5" r:id="rId6" xr:uid="{C12EE981-D811-41BB-BD15-95C1230BD917}"/>
    <hyperlink ref="H5" r:id="rId7" xr:uid="{0D09EA1E-953B-4AEA-8016-4212374F32B1}"/>
    <hyperlink ref="K5" r:id="rId8" xr:uid="{3695D315-89C5-4541-AB2F-079088642719}"/>
    <hyperlink ref="K6" r:id="rId9" xr:uid="{94A266C9-056D-48A9-9BFA-416799C24D8A}"/>
    <hyperlink ref="K7" r:id="rId10" xr:uid="{94BE7BEA-9607-47A6-ACE2-5E15886F8E09}"/>
    <hyperlink ref="K8" r:id="rId11" xr:uid="{6EF8EDB4-93F4-42BE-A25A-1A2E4F496F29}"/>
    <hyperlink ref="K9" r:id="rId12" xr:uid="{65F83E37-81CE-4B4F-8CBB-44F561ADEDF2}"/>
    <hyperlink ref="G9" r:id="rId13" xr:uid="{7B6BE185-6670-4ECF-98AB-97045B9A76C3}"/>
    <hyperlink ref="H9" r:id="rId14" xr:uid="{3613369E-8F1B-4679-872F-855D46B07DC0}"/>
    <hyperlink ref="K10" r:id="rId15" xr:uid="{7F63FDF4-904A-429D-8E8E-8DC9276F49E5}"/>
    <hyperlink ref="G11" r:id="rId16" xr:uid="{A75F98C5-3C28-463D-BA42-E05D17BAD2F8}"/>
    <hyperlink ref="H11" r:id="rId17" xr:uid="{F7914611-1255-438E-84C9-4C9CAC12789B}"/>
    <hyperlink ref="K11" r:id="rId18" xr:uid="{359AE4A9-28F4-4BF6-A5D8-5F2104720B65}"/>
    <hyperlink ref="G12" r:id="rId19" xr:uid="{62905239-A89F-426F-A38C-8D963C993D4E}"/>
    <hyperlink ref="H12" r:id="rId20" xr:uid="{9F9FE56C-ED6F-4591-BAF6-C783E3E58B46}"/>
    <hyperlink ref="K12" r:id="rId21" xr:uid="{5C372474-88DB-48D4-A42A-3A450C8E1E39}"/>
    <hyperlink ref="K13" r:id="rId22" xr:uid="{5A8EC480-E481-4250-92C6-FFB507DE9ED3}"/>
    <hyperlink ref="K14" r:id="rId23" xr:uid="{95DCAA21-5DAD-4E22-9F5C-55ECFC7FD49D}"/>
    <hyperlink ref="K15" r:id="rId24" xr:uid="{2A5DAB6B-468D-4EFE-86F7-136B34F60B27}"/>
    <hyperlink ref="K16" r:id="rId25" xr:uid="{492D5E36-F65D-4971-82D5-467E9521C33A}"/>
    <hyperlink ref="G17" r:id="rId26" xr:uid="{12BA4BFA-9F79-41E5-A2EB-2F60456E861A}"/>
    <hyperlink ref="H17" r:id="rId27" xr:uid="{98810CCD-0722-42D2-B23F-1A1C190C1716}"/>
    <hyperlink ref="K17" r:id="rId28" xr:uid="{74E01444-6D28-4985-8609-049A5AFCC234}"/>
    <hyperlink ref="G18" r:id="rId29" xr:uid="{3CFF1FDC-82A7-4098-9260-ACEABCB8DDE2}"/>
    <hyperlink ref="K18" r:id="rId30" xr:uid="{8D407803-BC96-4A8B-9CB9-D778300A2A4B}"/>
    <hyperlink ref="G19" r:id="rId31" xr:uid="{387AD006-10D0-4BA2-A301-8FB6CB574EF9}"/>
    <hyperlink ref="K19" r:id="rId32" xr:uid="{A522C3BA-9EF7-4FAE-84C0-BB8AA48B01FF}"/>
    <hyperlink ref="G20" r:id="rId33" xr:uid="{8025E5F3-950E-40FB-AE1C-9DD367300E74}"/>
    <hyperlink ref="H20" r:id="rId34" xr:uid="{EC785713-7D8A-4145-B6CE-904BBF31C7B6}"/>
    <hyperlink ref="G21" r:id="rId35" xr:uid="{67F6871C-B079-479F-A093-7E85166AED73}"/>
    <hyperlink ref="H21" r:id="rId36" xr:uid="{323007EA-BD58-4AC2-9E3D-4597C3C3F57E}"/>
    <hyperlink ref="G22" r:id="rId37" xr:uid="{076D276A-7599-490E-AAAC-7B27F1103079}"/>
    <hyperlink ref="H22" r:id="rId38" xr:uid="{6CA9FC54-7DCE-4B66-B9F9-32A5519F1CC8}"/>
    <hyperlink ref="K22" r:id="rId39" xr:uid="{E46BD38C-6A6F-48C8-BD85-31726069A775}"/>
    <hyperlink ref="G23" r:id="rId40" xr:uid="{CF19A908-6733-4AA4-9796-C8276A06AB00}"/>
    <hyperlink ref="K23" r:id="rId41" xr:uid="{D0247E4E-DB11-4789-B614-99B966C08DB4}"/>
    <hyperlink ref="G24" r:id="rId42" xr:uid="{AFA1E294-1F7D-4E0F-B0D0-5B0A6C5E9F63}"/>
    <hyperlink ref="H24" r:id="rId43" xr:uid="{50BAC2E5-E178-4C8C-B788-AEF0F56429F1}"/>
    <hyperlink ref="G25" r:id="rId44" xr:uid="{FCC47B36-FA56-4566-9B97-E7CBD9B7AB24}"/>
    <hyperlink ref="H25" r:id="rId45" xr:uid="{B9332C78-ED29-481B-8D48-8F70F8E94D1C}"/>
    <hyperlink ref="G26" r:id="rId46" xr:uid="{7B76BF3A-2D59-40A7-BCF3-A98FC8E3649E}"/>
    <hyperlink ref="H26" r:id="rId47" xr:uid="{691AD9C2-CC02-40EE-BC68-6234021C9D8D}"/>
    <hyperlink ref="G27" r:id="rId48" xr:uid="{B7646F45-893F-4B92-93A9-76E4BC025B10}"/>
    <hyperlink ref="H27" r:id="rId49" xr:uid="{776422A3-47FF-4FA1-A35C-78438FF7AA4D}"/>
    <hyperlink ref="K28" r:id="rId50" xr:uid="{34DC8331-D646-4B7C-9E70-BC72EB1A3159}"/>
    <hyperlink ref="G29" r:id="rId51" xr:uid="{9309EBFF-3A52-4FF6-884F-2A6A9C5B542D}"/>
    <hyperlink ref="H29" r:id="rId52" xr:uid="{A221E56E-D114-48A1-A997-F4BFF59195CA}"/>
    <hyperlink ref="G30" r:id="rId53" xr:uid="{AA15633C-583F-4D5F-9A6B-D73193D4EB33}"/>
    <hyperlink ref="H30" r:id="rId54" xr:uid="{F4AA475E-7460-416E-A214-15F0DD26D7BE}"/>
    <hyperlink ref="G31" r:id="rId55" xr:uid="{74D91AB7-A445-49B7-8514-C48A05352DC5}"/>
    <hyperlink ref="H31" r:id="rId56" xr:uid="{F42A7938-4858-4F0F-8C38-6C5BEDB0F60B}"/>
    <hyperlink ref="K31" r:id="rId57" xr:uid="{31BE08CA-53FF-4804-92FB-3D97CA1668BE}"/>
    <hyperlink ref="G32" r:id="rId58" xr:uid="{1729A61A-79D7-40B9-89F1-781E8EB55C01}"/>
    <hyperlink ref="H32" r:id="rId59" xr:uid="{E5372282-BEA6-46FA-BB9B-E24B28CB6F90}"/>
    <hyperlink ref="K32" r:id="rId60" xr:uid="{65AC0591-ABEC-495B-A701-7D62B2B3D8EC}"/>
    <hyperlink ref="G33" r:id="rId61" xr:uid="{48C79497-E361-4366-A0F4-70D674D4F6BF}"/>
    <hyperlink ref="H33" r:id="rId62" xr:uid="{2D36E963-E070-47F0-9D64-D1E9B9A63CB0}"/>
    <hyperlink ref="K33" r:id="rId63" xr:uid="{7B1F2F89-7189-4CD3-B5B1-DD0D0BDFF206}"/>
    <hyperlink ref="AT2" r:id="rId64" xr:uid="{9604CDA9-0813-495C-9A5D-0F7B1CB2BE35}"/>
    <hyperlink ref="AT4" r:id="rId65" xr:uid="{9BAD8958-C2FA-4C01-B8F6-F8CD7E7114C8}"/>
    <hyperlink ref="AT5" r:id="rId66" xr:uid="{1200BA9D-D9A5-447C-B0B3-47943B6CEBED}"/>
    <hyperlink ref="AT6" r:id="rId67" xr:uid="{5DAF210C-6344-463A-87F6-7797F3E873D5}"/>
    <hyperlink ref="AT7" r:id="rId68" xr:uid="{0BE49FCA-E1D5-48C3-B0E2-DF409CFB3807}"/>
    <hyperlink ref="AT8" r:id="rId69" xr:uid="{0A3361CD-EE1B-4D82-946B-404255C36212}"/>
    <hyperlink ref="AT12" r:id="rId70" xr:uid="{D57E2078-405D-46A4-B2FE-FBBA7433E8BC}"/>
    <hyperlink ref="AT14" r:id="rId71" xr:uid="{784E957A-6D0B-406D-BC6F-98D04D298299}"/>
    <hyperlink ref="AT15" r:id="rId72" xr:uid="{6077D44C-A3B4-4294-9ED0-F8525D0A6B2F}"/>
    <hyperlink ref="AT17" r:id="rId73" xr:uid="{8D28DB4C-9592-4589-8610-899868CB5427}"/>
    <hyperlink ref="AT20" r:id="rId74" xr:uid="{CC8E9691-8990-4F17-8753-AC95829B14F5}"/>
    <hyperlink ref="AT21" r:id="rId75" xr:uid="{F2B63E78-3A73-427C-A2D3-35442C4AB219}"/>
    <hyperlink ref="AT22" r:id="rId76" xr:uid="{CDA6F52E-773E-45B9-A044-16BBDBDA6476}"/>
    <hyperlink ref="AT25" r:id="rId77" xr:uid="{B2C591B8-9AEE-42FA-972A-AFD539645491}"/>
    <hyperlink ref="AT28" r:id="rId78" xr:uid="{6C46850E-0FBC-4B0B-961D-F246896B673C}"/>
    <hyperlink ref="AT30" r:id="rId79" xr:uid="{314F99CF-5B3B-4B9F-81E8-CB04D10007B0}"/>
    <hyperlink ref="AT33" r:id="rId80" xr:uid="{562CC6F6-BDA4-42A4-8484-0C34C1B5E702}"/>
    <hyperlink ref="AT40" r:id="rId81" xr:uid="{993CE364-0843-41EE-A97A-EDC7B792F837}"/>
    <hyperlink ref="AT41" r:id="rId82" xr:uid="{B2BCEFF7-DF1E-4D97-94B6-877CF9C45664}"/>
    <hyperlink ref="AT42" r:id="rId83" xr:uid="{EF2CAC01-0297-427E-AFE8-BD4B1E64A966}"/>
    <hyperlink ref="AT43" r:id="rId84" xr:uid="{FCF93D54-FAB5-4F35-B89D-AF6485D25E90}"/>
    <hyperlink ref="AT46" r:id="rId85" xr:uid="{A80598DB-4778-45FB-8609-CD31EC4E72F6}"/>
    <hyperlink ref="AT45" r:id="rId86" xr:uid="{51BF7F40-70D4-49D2-B422-990B294D4ADE}"/>
    <hyperlink ref="K36" r:id="rId87" xr:uid="{ACC074C0-C4A6-404C-B77A-0D184289CCCD}"/>
    <hyperlink ref="K37" r:id="rId88" xr:uid="{1790DFF0-9C6F-405A-8CE8-BA4D43B57295}"/>
    <hyperlink ref="G36" r:id="rId89" xr:uid="{BF46C60E-F940-41FC-8475-87EB826E3B7C}"/>
    <hyperlink ref="AT24" r:id="rId90" xr:uid="{B75CDE26-55CA-4186-B413-617FD108E8E2}"/>
    <hyperlink ref="AT39" r:id="rId91" xr:uid="{EBEB89A4-A41F-4CE5-AF6D-F7934A7F5CAE}"/>
  </hyperlinks>
  <pageMargins left="0.7" right="0.7" top="0.75" bottom="0.75" header="0.3" footer="0.3"/>
  <pageSetup orientation="portrait" r:id="rId92"/>
  <legacyDrawing r:id="rId9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70649-EF4B-4B1F-B3EC-3D04C392FEAA}">
  <dimension ref="A1:AU38"/>
  <sheetViews>
    <sheetView workbookViewId="0">
      <selection activeCell="Q2" sqref="Q2"/>
    </sheetView>
  </sheetViews>
  <sheetFormatPr defaultRowHeight="15" x14ac:dyDescent="0.25"/>
  <cols>
    <col min="1" max="1" width="11.28515625" bestFit="1" customWidth="1"/>
    <col min="10" max="10" width="11.140625" bestFit="1" customWidth="1"/>
    <col min="11" max="11" width="11.85546875" bestFit="1" customWidth="1"/>
    <col min="17" max="17" width="11.140625" bestFit="1" customWidth="1"/>
    <col min="18" max="18" width="11.85546875" bestFit="1" customWidth="1"/>
    <col min="38" max="38" width="10" customWidth="1"/>
    <col min="39" max="39" width="16.85546875" customWidth="1"/>
    <col min="40" max="40" width="11.28515625" customWidth="1"/>
  </cols>
  <sheetData>
    <row r="1" spans="1:40" x14ac:dyDescent="0.25">
      <c r="A1" t="s">
        <v>1</v>
      </c>
      <c r="B1" t="s">
        <v>31</v>
      </c>
      <c r="C1" t="s">
        <v>25</v>
      </c>
      <c r="D1" t="s">
        <v>344</v>
      </c>
      <c r="J1" t="s">
        <v>494</v>
      </c>
      <c r="K1" t="s">
        <v>495</v>
      </c>
      <c r="Q1" t="s">
        <v>494</v>
      </c>
      <c r="R1" t="s">
        <v>495</v>
      </c>
      <c r="W1" t="s">
        <v>1</v>
      </c>
      <c r="X1" t="s">
        <v>31</v>
      </c>
      <c r="Y1" t="s">
        <v>25</v>
      </c>
      <c r="Z1" t="s">
        <v>344</v>
      </c>
      <c r="AE1" t="s">
        <v>496</v>
      </c>
      <c r="AF1" t="s">
        <v>497</v>
      </c>
      <c r="AG1" t="s">
        <v>498</v>
      </c>
      <c r="AH1" t="s">
        <v>499</v>
      </c>
      <c r="AI1" t="s">
        <v>507</v>
      </c>
      <c r="AJ1" t="s">
        <v>506</v>
      </c>
      <c r="AM1" t="s">
        <v>500</v>
      </c>
      <c r="AN1" t="s">
        <v>501</v>
      </c>
    </row>
    <row r="2" spans="1:40" x14ac:dyDescent="0.25">
      <c r="A2" t="s">
        <v>2</v>
      </c>
      <c r="B2">
        <f>COUNTIFS(Sheet4!$B:$B,$A2,Sheet4!$E:$E,B$1)</f>
        <v>10</v>
      </c>
      <c r="C2">
        <f>COUNTIFS(Sheet4!$B:$B,$A2,Sheet4!$E:$E,C$1)</f>
        <v>8</v>
      </c>
      <c r="D2">
        <f>COUNTIFS(Sheet4!$B:$B,$A2,Sheet4!$E:$E,D$1)</f>
        <v>1</v>
      </c>
      <c r="I2">
        <v>2014</v>
      </c>
      <c r="J2">
        <v>0</v>
      </c>
      <c r="K2">
        <v>0</v>
      </c>
      <c r="P2" t="s">
        <v>31</v>
      </c>
      <c r="Q2">
        <f>SUMIF(Sheet4!E:E,P2,Sheet4!O:O)</f>
        <v>8</v>
      </c>
      <c r="R2">
        <f>COUNTIF(Sheet4!E:E,P2)-Q2</f>
        <v>19</v>
      </c>
      <c r="W2" t="s">
        <v>2</v>
      </c>
      <c r="X2">
        <f>COUNTIFS(Sheet4!$B:$B, $W2, Sheet4!$E:$E, X$1, Sheet4!$O:$O, "&lt;&gt;1")</f>
        <v>7</v>
      </c>
      <c r="Y2">
        <f>COUNTIFS(Sheet4!$B:$B, $W2, Sheet4!$E:$E, Y$1, Sheet4!$O:$O, "&lt;&gt;1")</f>
        <v>7</v>
      </c>
      <c r="Z2">
        <f>COUNTIFS(Sheet4!$B:$B, $W2, Sheet4!$E:$E, Z$1, Sheet4!$O:$O, "&lt;&gt;1")</f>
        <v>1</v>
      </c>
      <c r="AE2" t="s">
        <v>68</v>
      </c>
      <c r="AF2" t="s">
        <v>31</v>
      </c>
      <c r="AG2">
        <v>500000</v>
      </c>
      <c r="AH2">
        <v>500000</v>
      </c>
      <c r="AI2">
        <f>IF(AG2=AH2,AG2,((AG2+AH2)/2))</f>
        <v>500000</v>
      </c>
      <c r="AJ2" t="str">
        <f>IF(AND(AI2&lt;1000000,AI2&lt;&gt;""),"&lt;1M",IF(AND(AI2&gt;=1000000,AI2&lt;=2500000),"1-2.5M",IF(AND(AI2&gt;=4000000,AI2&lt;=5000000),"4-5M",IF(AND(AI2&gt;=10000000,AI2&lt;=19000000),"10-19M",IF(AI2&gt;=20000000,"&gt;20M","")))))</f>
        <v>&lt;1M</v>
      </c>
      <c r="AL2" t="s">
        <v>502</v>
      </c>
      <c r="AM2">
        <v>1</v>
      </c>
      <c r="AN2">
        <v>2</v>
      </c>
    </row>
    <row r="3" spans="1:40" x14ac:dyDescent="0.25">
      <c r="A3" t="s">
        <v>10</v>
      </c>
      <c r="B3">
        <f>COUNTIFS(Sheet4!$B:$B,$A3,Sheet4!$E:$E,B$1)</f>
        <v>12</v>
      </c>
      <c r="C3">
        <f>COUNTIFS(Sheet4!$B:$B,$A3,Sheet4!$E:$E,C$1)</f>
        <v>9</v>
      </c>
      <c r="D3">
        <f>COUNTIFS(Sheet4!$B:$B,$A3,Sheet4!$E:$E,D$1)</f>
        <v>0</v>
      </c>
      <c r="I3">
        <v>2015</v>
      </c>
      <c r="J3">
        <v>2</v>
      </c>
      <c r="K3">
        <v>0</v>
      </c>
      <c r="P3" t="s">
        <v>25</v>
      </c>
      <c r="Q3">
        <f>SUMIF(Sheet4!E:E,P3,Sheet4!O:O)</f>
        <v>2</v>
      </c>
      <c r="R3">
        <f>COUNTIF(Sheet4!E:E,P3)-Q3</f>
        <v>15</v>
      </c>
      <c r="W3" t="s">
        <v>10</v>
      </c>
      <c r="X3">
        <f>COUNTIFS(Sheet4!$B:$B, $W3, Sheet4!$E:$E, X$1, Sheet4!$O:$O, "&lt;&gt;1")</f>
        <v>7</v>
      </c>
      <c r="Y3">
        <f>COUNTIFS(Sheet4!$B:$B, $W3, Sheet4!$E:$E, Y$1, Sheet4!$O:$O, "&lt;&gt;1")</f>
        <v>8</v>
      </c>
      <c r="Z3">
        <f>COUNTIFS(Sheet4!$B:$B, $W3, Sheet4!$E:$E, Z$1, Sheet4!$O:$O, "&lt;&gt;1")</f>
        <v>0</v>
      </c>
      <c r="AE3" t="s">
        <v>70</v>
      </c>
      <c r="AF3" t="s">
        <v>31</v>
      </c>
      <c r="AG3">
        <v>2000000</v>
      </c>
      <c r="AH3">
        <v>2000000</v>
      </c>
      <c r="AI3">
        <f t="shared" ref="AI3:AI18" si="0">IF(AG3=AH3,AG3,((AG3+AH3)/2))</f>
        <v>2000000</v>
      </c>
      <c r="AJ3" t="str">
        <f t="shared" ref="AJ3:AJ18" si="1">IF(AND(AI3&lt;1000000,AI3&lt;&gt;""),"&lt;1M",IF(AND(AI3&gt;=1000000,AI3&lt;=2500000),"1-2.5M",IF(AND(AI3&gt;=4000000,AI3&lt;=5000000),"4-5M",IF(AND(AI3&gt;=10000000,AI3&lt;=19000000),"10-19M",IF(AI3&gt;=20000000,"&gt;20M","")))))</f>
        <v>1-2.5M</v>
      </c>
      <c r="AL3" t="s">
        <v>503</v>
      </c>
      <c r="AM3">
        <f t="shared" ref="AM3:AM6" si="2">COUNTIFS($AJ$2:$AJ$18,$AL3,$AF$2:$AF$18,"Yes")</f>
        <v>6</v>
      </c>
      <c r="AN3">
        <f t="shared" ref="AN3:AN5" si="3">COUNTIFS($AJ$2:$AJ$18,$AL3,$AF$2:$AF$18,"No")</f>
        <v>2</v>
      </c>
    </row>
    <row r="4" spans="1:40" x14ac:dyDescent="0.25">
      <c r="A4" t="s">
        <v>21</v>
      </c>
      <c r="B4">
        <f>COUNTIFS(Sheet4!$B:$B,$A4,Sheet4!$E:$E,B$1)</f>
        <v>5</v>
      </c>
      <c r="C4">
        <f>COUNTIFS(Sheet4!$B:$B,$A4,Sheet4!$E:$E,C$1)</f>
        <v>0</v>
      </c>
      <c r="D4">
        <f>COUNTIFS(Sheet4!$B:$B,$A4,Sheet4!$E:$E,D$1)</f>
        <v>0</v>
      </c>
      <c r="I4">
        <v>2016</v>
      </c>
      <c r="J4">
        <v>7</v>
      </c>
      <c r="K4">
        <v>4</v>
      </c>
      <c r="P4" t="s">
        <v>344</v>
      </c>
      <c r="Q4">
        <f>SUMIF(Sheet4!E:E,P4,Sheet4!O:O)</f>
        <v>0</v>
      </c>
      <c r="R4">
        <f>COUNTIF(Sheet4!E:E,P4)-Q4</f>
        <v>1</v>
      </c>
      <c r="W4" t="s">
        <v>21</v>
      </c>
      <c r="X4">
        <f>COUNTIFS(Sheet4!$B:$B, $W4, Sheet4!$E:$E, X$1, Sheet4!$O:$O, "&lt;&gt;1")</f>
        <v>5</v>
      </c>
      <c r="Y4">
        <f>COUNTIFS(Sheet4!$B:$B, $W4, Sheet4!$E:$E, Y$1, Sheet4!$O:$O, "&lt;&gt;1")</f>
        <v>0</v>
      </c>
      <c r="Z4">
        <f>COUNTIFS(Sheet4!$B:$B, $W4, Sheet4!$E:$E, Z$1, Sheet4!$O:$O, "&lt;&gt;1")</f>
        <v>0</v>
      </c>
      <c r="AE4" t="s">
        <v>3</v>
      </c>
      <c r="AF4" t="s">
        <v>31</v>
      </c>
      <c r="AG4">
        <v>2000000</v>
      </c>
      <c r="AH4">
        <v>2000000</v>
      </c>
      <c r="AI4">
        <f t="shared" si="0"/>
        <v>2000000</v>
      </c>
      <c r="AJ4" t="str">
        <f t="shared" si="1"/>
        <v>1-2.5M</v>
      </c>
      <c r="AL4" t="s">
        <v>504</v>
      </c>
      <c r="AM4">
        <f t="shared" si="2"/>
        <v>1</v>
      </c>
      <c r="AN4">
        <f t="shared" si="3"/>
        <v>3</v>
      </c>
    </row>
    <row r="5" spans="1:40" x14ac:dyDescent="0.25">
      <c r="B5">
        <f>SUM(B2:B4)</f>
        <v>27</v>
      </c>
      <c r="C5">
        <f>SUM(C2:C4)</f>
        <v>17</v>
      </c>
      <c r="D5">
        <f>SUM(D2:D4)</f>
        <v>1</v>
      </c>
      <c r="E5">
        <f>SUM(B5:D5)</f>
        <v>45</v>
      </c>
      <c r="I5">
        <v>2017</v>
      </c>
      <c r="J5">
        <v>1</v>
      </c>
      <c r="K5">
        <v>8</v>
      </c>
      <c r="Q5">
        <f>SUM(Q2:Q4)</f>
        <v>10</v>
      </c>
      <c r="R5">
        <f>SUM(R2:R4)</f>
        <v>35</v>
      </c>
      <c r="S5">
        <f>SUM(Q5:R5)</f>
        <v>45</v>
      </c>
      <c r="X5">
        <f>SUM(X2:X4)</f>
        <v>19</v>
      </c>
      <c r="Y5">
        <f t="shared" ref="Y5:Z5" si="4">SUM(Y2:Y4)</f>
        <v>15</v>
      </c>
      <c r="Z5">
        <f t="shared" si="4"/>
        <v>1</v>
      </c>
      <c r="AA5">
        <f>SUM(X5:Z5)</f>
        <v>35</v>
      </c>
      <c r="AE5" t="s">
        <v>71</v>
      </c>
      <c r="AF5" t="s">
        <v>25</v>
      </c>
      <c r="AG5">
        <v>1000000</v>
      </c>
      <c r="AH5">
        <v>1000000</v>
      </c>
      <c r="AI5">
        <f t="shared" si="0"/>
        <v>1000000</v>
      </c>
      <c r="AJ5" t="str">
        <f t="shared" si="1"/>
        <v>1-2.5M</v>
      </c>
      <c r="AL5" t="s">
        <v>508</v>
      </c>
      <c r="AM5">
        <f t="shared" si="2"/>
        <v>1</v>
      </c>
      <c r="AN5">
        <f t="shared" si="3"/>
        <v>0</v>
      </c>
    </row>
    <row r="6" spans="1:40" x14ac:dyDescent="0.25">
      <c r="I6">
        <v>2018</v>
      </c>
      <c r="J6">
        <v>0</v>
      </c>
      <c r="K6">
        <v>8</v>
      </c>
      <c r="AE6" t="s">
        <v>72</v>
      </c>
      <c r="AF6" t="s">
        <v>25</v>
      </c>
      <c r="AG6">
        <v>1000000</v>
      </c>
      <c r="AH6">
        <v>1000000</v>
      </c>
      <c r="AI6">
        <f t="shared" si="0"/>
        <v>1000000</v>
      </c>
      <c r="AJ6" t="str">
        <f t="shared" si="1"/>
        <v>1-2.5M</v>
      </c>
      <c r="AL6" t="s">
        <v>505</v>
      </c>
      <c r="AM6">
        <f t="shared" si="2"/>
        <v>1</v>
      </c>
      <c r="AN6">
        <v>0</v>
      </c>
    </row>
    <row r="7" spans="1:40" x14ac:dyDescent="0.25">
      <c r="I7">
        <v>2019</v>
      </c>
      <c r="J7">
        <v>0</v>
      </c>
      <c r="K7">
        <v>2</v>
      </c>
      <c r="AE7" t="s">
        <v>73</v>
      </c>
      <c r="AF7" t="s">
        <v>25</v>
      </c>
      <c r="AG7">
        <v>4000000</v>
      </c>
      <c r="AH7">
        <v>4000000</v>
      </c>
      <c r="AI7">
        <f t="shared" si="0"/>
        <v>4000000</v>
      </c>
      <c r="AJ7" t="str">
        <f t="shared" si="1"/>
        <v>4-5M</v>
      </c>
    </row>
    <row r="8" spans="1:40" x14ac:dyDescent="0.25">
      <c r="I8">
        <v>2020</v>
      </c>
      <c r="J8">
        <v>0</v>
      </c>
      <c r="K8">
        <v>7</v>
      </c>
      <c r="AE8" t="s">
        <v>74</v>
      </c>
      <c r="AF8" t="s">
        <v>25</v>
      </c>
      <c r="AG8">
        <v>4000000</v>
      </c>
      <c r="AH8">
        <v>4000000</v>
      </c>
      <c r="AI8">
        <f t="shared" si="0"/>
        <v>4000000</v>
      </c>
      <c r="AJ8" t="str">
        <f t="shared" si="1"/>
        <v>4-5M</v>
      </c>
    </row>
    <row r="9" spans="1:40" x14ac:dyDescent="0.25">
      <c r="I9">
        <v>2021</v>
      </c>
      <c r="J9">
        <v>0</v>
      </c>
      <c r="K9">
        <v>2</v>
      </c>
      <c r="AE9" t="s">
        <v>75</v>
      </c>
      <c r="AF9" t="s">
        <v>31</v>
      </c>
      <c r="AG9">
        <v>2500000</v>
      </c>
      <c r="AH9">
        <v>2500000</v>
      </c>
      <c r="AI9">
        <f t="shared" si="0"/>
        <v>2500000</v>
      </c>
      <c r="AJ9" t="str">
        <f t="shared" si="1"/>
        <v>1-2.5M</v>
      </c>
    </row>
    <row r="10" spans="1:40" x14ac:dyDescent="0.25">
      <c r="I10">
        <v>2022</v>
      </c>
      <c r="J10">
        <v>0</v>
      </c>
      <c r="K10">
        <v>2</v>
      </c>
      <c r="AE10" t="s">
        <v>4</v>
      </c>
      <c r="AF10" t="s">
        <v>31</v>
      </c>
      <c r="AG10">
        <v>5000000</v>
      </c>
      <c r="AH10">
        <v>30000000</v>
      </c>
      <c r="AI10">
        <f t="shared" si="0"/>
        <v>17500000</v>
      </c>
      <c r="AJ10" t="str">
        <f t="shared" si="1"/>
        <v>10-19M</v>
      </c>
    </row>
    <row r="11" spans="1:40" x14ac:dyDescent="0.25">
      <c r="I11">
        <v>2023</v>
      </c>
      <c r="J11">
        <v>0</v>
      </c>
      <c r="K11">
        <v>2</v>
      </c>
      <c r="AE11" t="s">
        <v>76</v>
      </c>
      <c r="AF11" t="s">
        <v>31</v>
      </c>
      <c r="AG11">
        <v>5000000</v>
      </c>
      <c r="AH11">
        <v>5000000</v>
      </c>
      <c r="AI11">
        <f t="shared" si="0"/>
        <v>5000000</v>
      </c>
      <c r="AJ11" t="str">
        <f t="shared" si="1"/>
        <v>4-5M</v>
      </c>
    </row>
    <row r="12" spans="1:40" x14ac:dyDescent="0.25">
      <c r="J12">
        <f>SUM(J2:J11)</f>
        <v>10</v>
      </c>
      <c r="K12">
        <f>SUM(K2:K11)</f>
        <v>35</v>
      </c>
      <c r="L12">
        <f>SUM(J12:K12)</f>
        <v>45</v>
      </c>
      <c r="AE12" t="s">
        <v>77</v>
      </c>
      <c r="AF12" t="s">
        <v>25</v>
      </c>
      <c r="AG12">
        <v>4000000</v>
      </c>
      <c r="AH12">
        <v>4000000</v>
      </c>
      <c r="AI12">
        <f t="shared" si="0"/>
        <v>4000000</v>
      </c>
      <c r="AJ12" t="str">
        <f t="shared" si="1"/>
        <v>4-5M</v>
      </c>
    </row>
    <row r="13" spans="1:40" x14ac:dyDescent="0.25">
      <c r="AE13" t="s">
        <v>78</v>
      </c>
      <c r="AF13" t="s">
        <v>31</v>
      </c>
      <c r="AG13">
        <v>10000000</v>
      </c>
      <c r="AH13">
        <v>30000000</v>
      </c>
      <c r="AI13">
        <f t="shared" si="0"/>
        <v>20000000</v>
      </c>
      <c r="AJ13" t="str">
        <f t="shared" si="1"/>
        <v>&gt;20M</v>
      </c>
    </row>
    <row r="14" spans="1:40" x14ac:dyDescent="0.25">
      <c r="AE14" t="s">
        <v>5</v>
      </c>
      <c r="AF14" t="s">
        <v>31</v>
      </c>
      <c r="AG14">
        <v>1000000</v>
      </c>
      <c r="AH14">
        <v>1000000</v>
      </c>
      <c r="AI14">
        <f t="shared" si="0"/>
        <v>1000000</v>
      </c>
      <c r="AJ14" t="str">
        <f t="shared" si="1"/>
        <v>1-2.5M</v>
      </c>
    </row>
    <row r="15" spans="1:40" x14ac:dyDescent="0.25">
      <c r="AE15" t="s">
        <v>6</v>
      </c>
      <c r="AF15" t="s">
        <v>31</v>
      </c>
      <c r="AG15">
        <v>1000000</v>
      </c>
      <c r="AH15">
        <v>1000000</v>
      </c>
      <c r="AI15">
        <f t="shared" si="0"/>
        <v>1000000</v>
      </c>
      <c r="AJ15" t="str">
        <f t="shared" si="1"/>
        <v>1-2.5M</v>
      </c>
    </row>
    <row r="16" spans="1:40" x14ac:dyDescent="0.25">
      <c r="AE16" t="s">
        <v>7</v>
      </c>
      <c r="AF16" t="s">
        <v>31</v>
      </c>
      <c r="AG16">
        <v>1000000</v>
      </c>
      <c r="AH16">
        <v>1000000</v>
      </c>
      <c r="AI16">
        <f t="shared" si="0"/>
        <v>1000000</v>
      </c>
      <c r="AJ16" t="str">
        <f t="shared" si="1"/>
        <v>1-2.5M</v>
      </c>
    </row>
    <row r="17" spans="31:36" x14ac:dyDescent="0.25">
      <c r="AE17" t="s">
        <v>174</v>
      </c>
      <c r="AF17" t="s">
        <v>25</v>
      </c>
      <c r="AG17">
        <v>250000</v>
      </c>
      <c r="AH17">
        <v>1000000</v>
      </c>
      <c r="AI17">
        <f t="shared" si="0"/>
        <v>625000</v>
      </c>
      <c r="AJ17" t="str">
        <f t="shared" si="1"/>
        <v>&lt;1M</v>
      </c>
    </row>
    <row r="18" spans="31:36" x14ac:dyDescent="0.25">
      <c r="AE18" t="s">
        <v>175</v>
      </c>
      <c r="AF18" t="s">
        <v>25</v>
      </c>
      <c r="AG18">
        <v>250000</v>
      </c>
      <c r="AH18">
        <v>1000000</v>
      </c>
      <c r="AI18">
        <f t="shared" si="0"/>
        <v>625000</v>
      </c>
      <c r="AJ18" t="str">
        <f t="shared" si="1"/>
        <v>&lt;1M</v>
      </c>
    </row>
    <row r="33" spans="1:47" x14ac:dyDescent="0.25">
      <c r="A33" t="s">
        <v>404</v>
      </c>
    </row>
    <row r="34" spans="1:47" x14ac:dyDescent="0.25">
      <c r="A34" t="s">
        <v>0</v>
      </c>
      <c r="B34" t="s">
        <v>1</v>
      </c>
      <c r="C34" t="s">
        <v>28</v>
      </c>
      <c r="D34" t="s">
        <v>170</v>
      </c>
      <c r="E34" t="s">
        <v>171</v>
      </c>
      <c r="F34" t="s">
        <v>27</v>
      </c>
      <c r="G34" t="s">
        <v>34</v>
      </c>
      <c r="H34" t="s">
        <v>35</v>
      </c>
      <c r="I34" t="s">
        <v>26</v>
      </c>
      <c r="J34" t="s">
        <v>79</v>
      </c>
      <c r="K34" t="s">
        <v>32</v>
      </c>
      <c r="L34" t="s">
        <v>29</v>
      </c>
      <c r="M34" t="s">
        <v>110</v>
      </c>
      <c r="N34" t="s">
        <v>111</v>
      </c>
      <c r="O34" t="s">
        <v>158</v>
      </c>
      <c r="P34" t="s">
        <v>159</v>
      </c>
      <c r="Q34" t="s">
        <v>244</v>
      </c>
      <c r="S34" t="s">
        <v>277</v>
      </c>
      <c r="T34" t="s">
        <v>278</v>
      </c>
      <c r="U34" s="9" t="s">
        <v>315</v>
      </c>
      <c r="V34" t="s">
        <v>279</v>
      </c>
      <c r="W34" t="s">
        <v>281</v>
      </c>
      <c r="X34" t="s">
        <v>282</v>
      </c>
      <c r="Y34" t="s">
        <v>283</v>
      </c>
      <c r="Z34" t="s">
        <v>284</v>
      </c>
      <c r="AA34" t="s">
        <v>285</v>
      </c>
      <c r="AB34" t="s">
        <v>286</v>
      </c>
      <c r="AC34" t="s">
        <v>316</v>
      </c>
      <c r="AD34" t="s">
        <v>317</v>
      </c>
      <c r="AE34" t="s">
        <v>287</v>
      </c>
      <c r="AF34" t="s">
        <v>288</v>
      </c>
      <c r="AG34" t="s">
        <v>355</v>
      </c>
      <c r="AH34" t="s">
        <v>356</v>
      </c>
      <c r="AI34" t="s">
        <v>349</v>
      </c>
      <c r="AJ34" t="s">
        <v>357</v>
      </c>
      <c r="AK34" t="s">
        <v>359</v>
      </c>
      <c r="AL34" t="s">
        <v>353</v>
      </c>
      <c r="AM34" t="s">
        <v>360</v>
      </c>
      <c r="AN34" t="s">
        <v>350</v>
      </c>
      <c r="AO34" t="s">
        <v>351</v>
      </c>
      <c r="AP34" t="s">
        <v>426</v>
      </c>
      <c r="AQ34" t="s">
        <v>427</v>
      </c>
      <c r="AR34" t="s">
        <v>428</v>
      </c>
      <c r="AS34" t="s">
        <v>32</v>
      </c>
      <c r="AT34" t="s">
        <v>352</v>
      </c>
      <c r="AU34" t="s">
        <v>401</v>
      </c>
    </row>
    <row r="35" spans="1:47" x14ac:dyDescent="0.25">
      <c r="A35" s="10" t="s">
        <v>160</v>
      </c>
      <c r="B35" t="s">
        <v>2</v>
      </c>
      <c r="C35" t="s">
        <v>44</v>
      </c>
      <c r="D35" t="s">
        <v>248</v>
      </c>
      <c r="E35" t="s">
        <v>248</v>
      </c>
      <c r="F35" t="s">
        <v>31</v>
      </c>
      <c r="G35" s="1" t="s">
        <v>189</v>
      </c>
      <c r="H35" s="1" t="s">
        <v>190</v>
      </c>
      <c r="I35" t="s">
        <v>31</v>
      </c>
      <c r="J35" t="s">
        <v>25</v>
      </c>
      <c r="K35" t="s">
        <v>36</v>
      </c>
      <c r="L35" t="s">
        <v>36</v>
      </c>
      <c r="M35" t="s">
        <v>247</v>
      </c>
      <c r="N35" t="s">
        <v>191</v>
      </c>
      <c r="Q35">
        <v>1000000</v>
      </c>
      <c r="S35" t="s">
        <v>247</v>
      </c>
      <c r="U35" s="9"/>
      <c r="V35" t="s">
        <v>247</v>
      </c>
      <c r="W35" t="s">
        <v>191</v>
      </c>
      <c r="X35" t="s">
        <v>247</v>
      </c>
      <c r="Y35" t="s">
        <v>247</v>
      </c>
      <c r="Z35" t="s">
        <v>247</v>
      </c>
      <c r="AA35" t="s">
        <v>247</v>
      </c>
      <c r="AB35" t="s">
        <v>247</v>
      </c>
      <c r="AC35" t="s">
        <v>247</v>
      </c>
      <c r="AD35" t="s">
        <v>247</v>
      </c>
      <c r="AE35" t="s">
        <v>247</v>
      </c>
      <c r="AF35" t="s">
        <v>247</v>
      </c>
      <c r="AG35" s="6" t="s">
        <v>25</v>
      </c>
      <c r="AH35" s="6" t="s">
        <v>25</v>
      </c>
      <c r="AI35" s="6" t="s">
        <v>36</v>
      </c>
      <c r="AJ35" s="6" t="s">
        <v>25</v>
      </c>
      <c r="AK35" s="6" t="s">
        <v>36</v>
      </c>
      <c r="AL35" s="6" t="s">
        <v>25</v>
      </c>
      <c r="AM35" s="6" t="s">
        <v>36</v>
      </c>
      <c r="AN35" s="6" t="s">
        <v>247</v>
      </c>
      <c r="AO35" s="6" t="s">
        <v>247</v>
      </c>
      <c r="AP35" s="6" t="s">
        <v>247</v>
      </c>
      <c r="AQ35" s="6" t="s">
        <v>247</v>
      </c>
      <c r="AR35" s="6" t="s">
        <v>247</v>
      </c>
      <c r="AS35" s="6" t="s">
        <v>247</v>
      </c>
      <c r="AT35" s="6" t="s">
        <v>247</v>
      </c>
    </row>
    <row r="36" spans="1:47" x14ac:dyDescent="0.25">
      <c r="A36" s="11" t="s">
        <v>23</v>
      </c>
      <c r="B36" t="s">
        <v>21</v>
      </c>
      <c r="C36" t="s">
        <v>31</v>
      </c>
      <c r="D36" t="s">
        <v>31</v>
      </c>
      <c r="E36" t="s">
        <v>31</v>
      </c>
      <c r="F36" t="s">
        <v>31</v>
      </c>
      <c r="G36" s="1" t="s">
        <v>107</v>
      </c>
      <c r="H36" s="1" t="s">
        <v>108</v>
      </c>
      <c r="I36" t="s">
        <v>31</v>
      </c>
      <c r="J36" t="s">
        <v>31</v>
      </c>
      <c r="K36" s="1" t="s">
        <v>205</v>
      </c>
      <c r="L36" t="s">
        <v>36</v>
      </c>
      <c r="M36" t="s">
        <v>149</v>
      </c>
      <c r="N36" t="s">
        <v>155</v>
      </c>
      <c r="Q36" t="s">
        <v>36</v>
      </c>
      <c r="S36">
        <v>2016</v>
      </c>
      <c r="T36" t="s">
        <v>257</v>
      </c>
      <c r="U36" s="9" t="s">
        <v>257</v>
      </c>
      <c r="V36" t="s">
        <v>331</v>
      </c>
      <c r="W36" t="s">
        <v>155</v>
      </c>
      <c r="X36" t="s">
        <v>31</v>
      </c>
      <c r="Y36" t="s">
        <v>25</v>
      </c>
      <c r="Z36" t="s">
        <v>31</v>
      </c>
      <c r="AA36" t="s">
        <v>25</v>
      </c>
      <c r="AB36" t="s">
        <v>248</v>
      </c>
      <c r="AC36" t="s">
        <v>248</v>
      </c>
      <c r="AD36" t="s">
        <v>248</v>
      </c>
      <c r="AE36" t="s">
        <v>31</v>
      </c>
      <c r="AF36" t="s">
        <v>248</v>
      </c>
      <c r="AG36" s="6" t="s">
        <v>25</v>
      </c>
      <c r="AH36" s="6" t="s">
        <v>25</v>
      </c>
      <c r="AI36" s="6" t="s">
        <v>36</v>
      </c>
      <c r="AJ36" s="6" t="s">
        <v>25</v>
      </c>
      <c r="AK36" s="6" t="s">
        <v>36</v>
      </c>
      <c r="AL36" s="6" t="s">
        <v>25</v>
      </c>
      <c r="AM36" s="6" t="s">
        <v>36</v>
      </c>
      <c r="AN36" s="6" t="s">
        <v>25</v>
      </c>
      <c r="AO36" s="6" t="s">
        <v>36</v>
      </c>
      <c r="AP36" s="6" t="s">
        <v>36</v>
      </c>
      <c r="AQ36" s="6" t="s">
        <v>36</v>
      </c>
      <c r="AR36" s="6" t="s">
        <v>36</v>
      </c>
      <c r="AS36" s="6" t="s">
        <v>36</v>
      </c>
      <c r="AT36" s="6" t="s">
        <v>384</v>
      </c>
    </row>
    <row r="37" spans="1:47" x14ac:dyDescent="0.25">
      <c r="A37" s="13" t="s">
        <v>181</v>
      </c>
      <c r="B37" t="s">
        <v>10</v>
      </c>
      <c r="C37" t="s">
        <v>236</v>
      </c>
      <c r="D37" t="s">
        <v>31</v>
      </c>
      <c r="E37" t="s">
        <v>31</v>
      </c>
      <c r="F37" t="s">
        <v>25</v>
      </c>
      <c r="G37" t="s">
        <v>36</v>
      </c>
      <c r="H37" t="s">
        <v>36</v>
      </c>
      <c r="I37" t="s">
        <v>31</v>
      </c>
      <c r="J37" t="s">
        <v>25</v>
      </c>
      <c r="K37" t="s">
        <v>36</v>
      </c>
      <c r="L37" t="s">
        <v>36</v>
      </c>
      <c r="M37" t="s">
        <v>267</v>
      </c>
      <c r="N37" t="s">
        <v>238</v>
      </c>
      <c r="Q37" t="s">
        <v>36</v>
      </c>
      <c r="S37" t="s">
        <v>247</v>
      </c>
      <c r="T37" t="s">
        <v>267</v>
      </c>
      <c r="U37" s="9" t="s">
        <v>267</v>
      </c>
      <c r="V37" t="s">
        <v>247</v>
      </c>
      <c r="W37" t="s">
        <v>238</v>
      </c>
      <c r="X37" t="s">
        <v>247</v>
      </c>
      <c r="Y37" t="s">
        <v>247</v>
      </c>
      <c r="Z37" t="s">
        <v>247</v>
      </c>
      <c r="AA37" t="s">
        <v>247</v>
      </c>
      <c r="AB37" t="s">
        <v>247</v>
      </c>
      <c r="AC37" t="s">
        <v>247</v>
      </c>
      <c r="AD37" t="s">
        <v>247</v>
      </c>
      <c r="AE37" t="s">
        <v>247</v>
      </c>
      <c r="AF37" t="s">
        <v>247</v>
      </c>
      <c r="AG37" s="6" t="s">
        <v>25</v>
      </c>
      <c r="AH37" s="6" t="s">
        <v>25</v>
      </c>
      <c r="AI37" s="6" t="s">
        <v>36</v>
      </c>
      <c r="AJ37" s="6" t="s">
        <v>25</v>
      </c>
      <c r="AK37" s="6" t="s">
        <v>36</v>
      </c>
      <c r="AL37" s="6" t="s">
        <v>25</v>
      </c>
      <c r="AM37" s="6" t="s">
        <v>36</v>
      </c>
      <c r="AN37" s="6" t="s">
        <v>31</v>
      </c>
      <c r="AO37" s="6" t="s">
        <v>422</v>
      </c>
      <c r="AP37" s="6" t="s">
        <v>479</v>
      </c>
      <c r="AQ37" s="6" t="s">
        <v>480</v>
      </c>
      <c r="AR37" s="6" t="s">
        <v>247</v>
      </c>
      <c r="AS37" s="1" t="s">
        <v>481</v>
      </c>
      <c r="AT37" s="6" t="s">
        <v>394</v>
      </c>
    </row>
    <row r="38" spans="1:47" x14ac:dyDescent="0.25">
      <c r="A38" s="13" t="s">
        <v>187</v>
      </c>
      <c r="B38" t="s">
        <v>10</v>
      </c>
      <c r="C38" t="s">
        <v>236</v>
      </c>
      <c r="D38" t="s">
        <v>31</v>
      </c>
      <c r="E38" t="s">
        <v>31</v>
      </c>
      <c r="F38" t="s">
        <v>25</v>
      </c>
      <c r="G38" t="s">
        <v>36</v>
      </c>
      <c r="H38" t="s">
        <v>36</v>
      </c>
      <c r="I38" t="s">
        <v>31</v>
      </c>
      <c r="J38" t="s">
        <v>25</v>
      </c>
      <c r="K38" t="s">
        <v>36</v>
      </c>
      <c r="L38" t="s">
        <v>36</v>
      </c>
      <c r="M38" t="s">
        <v>272</v>
      </c>
      <c r="N38" t="s">
        <v>242</v>
      </c>
      <c r="Q38" t="s">
        <v>36</v>
      </c>
      <c r="S38" t="s">
        <v>247</v>
      </c>
      <c r="T38" t="s">
        <v>272</v>
      </c>
      <c r="U38" s="9" t="s">
        <v>272</v>
      </c>
      <c r="V38" t="s">
        <v>247</v>
      </c>
      <c r="W38" t="s">
        <v>242</v>
      </c>
      <c r="X38" t="s">
        <v>247</v>
      </c>
      <c r="Y38" t="s">
        <v>247</v>
      </c>
      <c r="Z38" t="s">
        <v>247</v>
      </c>
      <c r="AA38" t="s">
        <v>247</v>
      </c>
      <c r="AB38" t="s">
        <v>247</v>
      </c>
      <c r="AC38" t="s">
        <v>247</v>
      </c>
      <c r="AD38" t="s">
        <v>247</v>
      </c>
      <c r="AE38" t="s">
        <v>247</v>
      </c>
      <c r="AF38" t="s">
        <v>247</v>
      </c>
      <c r="AG38" s="6" t="s">
        <v>31</v>
      </c>
      <c r="AH38" s="6" t="s">
        <v>31</v>
      </c>
      <c r="AI38" s="6" t="s">
        <v>400</v>
      </c>
      <c r="AJ38" s="6" t="s">
        <v>25</v>
      </c>
      <c r="AK38" s="6" t="s">
        <v>36</v>
      </c>
      <c r="AL38" s="6" t="s">
        <v>25</v>
      </c>
      <c r="AM38" s="6" t="s">
        <v>36</v>
      </c>
      <c r="AN38" s="6" t="s">
        <v>25</v>
      </c>
      <c r="AO38" s="6" t="s">
        <v>36</v>
      </c>
      <c r="AP38" s="6" t="s">
        <v>36</v>
      </c>
      <c r="AQ38" s="6" t="s">
        <v>36</v>
      </c>
      <c r="AR38" s="6" t="s">
        <v>36</v>
      </c>
      <c r="AS38" s="6" t="s">
        <v>36</v>
      </c>
      <c r="AT38" s="6" t="s">
        <v>398</v>
      </c>
    </row>
  </sheetData>
  <conditionalFormatting sqref="C37:C38">
    <cfRule type="cellIs" dxfId="5" priority="4" operator="equal">
      <formula>"No"</formula>
    </cfRule>
  </conditionalFormatting>
  <conditionalFormatting sqref="D34:D38">
    <cfRule type="cellIs" dxfId="4" priority="1" operator="equal">
      <formula>"No"</formula>
    </cfRule>
    <cfRule type="cellIs" dxfId="3" priority="3" operator="equal">
      <formula>"No?"</formula>
    </cfRule>
  </conditionalFormatting>
  <conditionalFormatting sqref="D37:D38">
    <cfRule type="cellIs" dxfId="2" priority="5" operator="equal">
      <formula>"-"</formula>
    </cfRule>
    <cfRule type="cellIs" dxfId="1" priority="6" operator="equal">
      <formula>"??"</formula>
    </cfRule>
  </conditionalFormatting>
  <conditionalFormatting sqref="P34:P38">
    <cfRule type="cellIs" dxfId="0" priority="2" operator="equal">
      <formula>1</formula>
    </cfRule>
  </conditionalFormatting>
  <hyperlinks>
    <hyperlink ref="G36" r:id="rId1" xr:uid="{C1C61D8A-AEE8-48CA-B622-A726FC7C6450}"/>
    <hyperlink ref="H36" r:id="rId2" xr:uid="{CEFF8A35-46B8-48A3-93EB-0D2680880DC2}"/>
    <hyperlink ref="K36" r:id="rId3" xr:uid="{38D20833-15EF-4A74-A4FD-DC7F19D30B19}"/>
    <hyperlink ref="G35" r:id="rId4" xr:uid="{D246EA51-539C-4016-BBF9-6BD3567E04A4}"/>
    <hyperlink ref="H35" r:id="rId5" xr:uid="{107357F4-CB2F-489A-8CCD-8F5392987FD9}"/>
    <hyperlink ref="AS37" r:id="rId6" xr:uid="{C2211AD1-EEC6-42BF-A366-820E5261154F}"/>
  </hyperlinks>
  <pageMargins left="0.7" right="0.7" top="0.75" bottom="0.75" header="0.3" footer="0.3"/>
  <drawing r:id="rId7"/>
  <legacyDrawing r:id="rId8"/>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9991-7CCC-4E93-A642-EFC1414FE030}">
  <dimension ref="A1:AM59"/>
  <sheetViews>
    <sheetView topLeftCell="Q19" workbookViewId="0">
      <selection activeCell="Z38" sqref="Z38"/>
    </sheetView>
  </sheetViews>
  <sheetFormatPr defaultRowHeight="15" x14ac:dyDescent="0.25"/>
  <cols>
    <col min="1" max="1" width="13.140625" bestFit="1" customWidth="1"/>
    <col min="2" max="2" width="20.28515625" bestFit="1" customWidth="1"/>
    <col min="3" max="3" width="16.28515625" bestFit="1" customWidth="1"/>
    <col min="4" max="4" width="20.28515625" bestFit="1" customWidth="1"/>
    <col min="5" max="5" width="17.7109375" bestFit="1" customWidth="1"/>
    <col min="6" max="6" width="10.28515625" bestFit="1" customWidth="1"/>
    <col min="7" max="7" width="9.7109375" bestFit="1" customWidth="1"/>
    <col min="9" max="9" width="11.28515625" bestFit="1" customWidth="1"/>
    <col min="10" max="12" width="10.5703125" bestFit="1" customWidth="1"/>
    <col min="14" max="14" width="21.28515625" bestFit="1" customWidth="1"/>
    <col min="15" max="15" width="20.28515625" bestFit="1" customWidth="1"/>
    <col min="16" max="17" width="20.28515625" customWidth="1"/>
    <col min="18" max="18" width="18.28515625" bestFit="1" customWidth="1"/>
    <col min="21" max="21" width="16.28515625" bestFit="1" customWidth="1"/>
    <col min="28" max="28" width="16.28515625" bestFit="1" customWidth="1"/>
  </cols>
  <sheetData>
    <row r="1" spans="1:39" x14ac:dyDescent="0.25">
      <c r="A1" t="s">
        <v>0</v>
      </c>
      <c r="B1" t="s">
        <v>281</v>
      </c>
      <c r="C1" t="s">
        <v>278</v>
      </c>
      <c r="D1" t="s">
        <v>277</v>
      </c>
      <c r="E1" t="s">
        <v>279</v>
      </c>
      <c r="F1" t="s">
        <v>158</v>
      </c>
      <c r="G1" t="s">
        <v>497</v>
      </c>
      <c r="I1" t="s">
        <v>511</v>
      </c>
      <c r="J1" t="s">
        <v>512</v>
      </c>
      <c r="K1" t="s">
        <v>513</v>
      </c>
      <c r="L1" t="s">
        <v>514</v>
      </c>
      <c r="N1" t="s">
        <v>515</v>
      </c>
      <c r="O1" t="s">
        <v>521</v>
      </c>
      <c r="R1" t="s">
        <v>522</v>
      </c>
      <c r="V1" t="s">
        <v>31</v>
      </c>
      <c r="W1" t="s">
        <v>25</v>
      </c>
      <c r="X1" t="s">
        <v>344</v>
      </c>
      <c r="AC1" t="s">
        <v>31</v>
      </c>
      <c r="AD1" t="s">
        <v>25</v>
      </c>
      <c r="AE1" t="s">
        <v>344</v>
      </c>
      <c r="AJ1" t="s">
        <v>31</v>
      </c>
      <c r="AK1" t="s">
        <v>25</v>
      </c>
      <c r="AL1" t="s">
        <v>344</v>
      </c>
    </row>
    <row r="2" spans="1:39" x14ac:dyDescent="0.25">
      <c r="A2" t="str">
        <f>Sheet4!A2</f>
        <v>4a O 144/14</v>
      </c>
      <c r="B2" s="6" t="str">
        <f>Sheet4!N2</f>
        <v>03.11.2015</v>
      </c>
      <c r="C2" t="str">
        <f>Sheet4!U2</f>
        <v>18.12.2014</v>
      </c>
      <c r="D2" t="str">
        <f>Sheet4!S2</f>
        <v>20.12.2012</v>
      </c>
      <c r="E2" t="str">
        <f>Sheet4!W2</f>
        <v>20.12.2012</v>
      </c>
      <c r="F2">
        <f>Sheet4!O2</f>
        <v>1</v>
      </c>
      <c r="G2" t="str">
        <f>Sheet4!E2</f>
        <v>Yes</v>
      </c>
      <c r="I2" s="15">
        <f>DATE(VALUE(RIGHT(B2,4)), VALUE(MID(B2,4,2)), VALUE(LEFT(B2,2)))</f>
        <v>42311</v>
      </c>
      <c r="J2" s="15">
        <f>DATE(VALUE(RIGHT(C2,4)), VALUE(MID(C2,4,2)), VALUE(LEFT(C2,2)))</f>
        <v>41991</v>
      </c>
      <c r="K2" s="15">
        <f>DATE(VALUE(RIGHT(D2,4)), VALUE(MID(D2,4,2)), VALUE(LEFT(D2,2)))</f>
        <v>41263</v>
      </c>
      <c r="L2" s="15">
        <f>DATE(VALUE(RIGHT(E2,4)), VALUE(MID(E2,4,2)), VALUE(LEFT(E2,2)))</f>
        <v>41263</v>
      </c>
      <c r="N2">
        <f>I2-J2</f>
        <v>320</v>
      </c>
      <c r="O2">
        <f>J2-K2</f>
        <v>728</v>
      </c>
      <c r="P2" t="b">
        <f>O2&gt;=1825</f>
        <v>0</v>
      </c>
      <c r="Q2" t="b">
        <f>O2&lt;=365</f>
        <v>0</v>
      </c>
      <c r="R2">
        <f>J2-L2</f>
        <v>728</v>
      </c>
      <c r="U2" t="s">
        <v>516</v>
      </c>
      <c r="V2">
        <f>COUNTIFS($G$2:$G$46, "Yes", $N$2:$N$46, "&lt;365", $F$2:$F$46, "&lt;&gt;1")</f>
        <v>3</v>
      </c>
      <c r="W2">
        <f>COUNTIFS($G$2:$G$46, "No", $N$2:$N$46, "&lt;365", $F$2:$F$46, "&lt;&gt;1")</f>
        <v>4</v>
      </c>
      <c r="X2">
        <f>COUNTIFS($G$2:$G$46, "n./a.", $N$2:$N$46, "&lt;365", $F$2:$F$46, "&lt;&gt;1")</f>
        <v>0</v>
      </c>
      <c r="AB2" t="s">
        <v>516</v>
      </c>
      <c r="AC2">
        <f>COUNTIFS($G$2:$G$46, "Yes", $O$2:$O$46, "&lt;365", $F$2:$F$46, "&lt;&gt;1")</f>
        <v>1</v>
      </c>
      <c r="AD2">
        <f>COUNTIFS($G$2:$G$46, "No", $O$2:$O$46, "&lt;365", $F$2:$F$46, "&lt;&gt;1")</f>
        <v>0</v>
      </c>
      <c r="AE2">
        <f>COUNTIFS($G$2:$G$46, "n./a.", $O$2:$O$46, "&lt;365", $F$2:$F$46, "&lt;&gt;1")</f>
        <v>0</v>
      </c>
      <c r="AI2" t="s">
        <v>516</v>
      </c>
      <c r="AJ2">
        <f>COUNTIFS($G$2:$G$46, "Yes", $R$2:$R$46, "&lt;365", $F$2:$F$46, "&lt;&gt;1")</f>
        <v>6</v>
      </c>
      <c r="AK2">
        <f>COUNTIFS($G$2:$G$46, "No", $R$2:$R$46, "&lt;365", $F$2:$F$46, "&lt;&gt;1")</f>
        <v>3</v>
      </c>
      <c r="AL2">
        <f>COUNTIFS($G$2:$G$46, "n./a.", $R$2:$R$46, "&lt;365", $F$2:$F$46, "&lt;&gt;1")</f>
        <v>0</v>
      </c>
    </row>
    <row r="3" spans="1:39" x14ac:dyDescent="0.25">
      <c r="A3" t="str">
        <f>Sheet4!A3</f>
        <v>4a O 126/14</v>
      </c>
      <c r="B3" s="6" t="str">
        <f>Sheet4!N3</f>
        <v>31.03.2016</v>
      </c>
      <c r="C3" t="str">
        <f>Sheet4!U3</f>
        <v>12.11.2014</v>
      </c>
      <c r="D3" t="str">
        <f>Sheet4!S3</f>
        <v>31.07.2014</v>
      </c>
      <c r="E3" t="str">
        <f>Sheet4!W3</f>
        <v>22.04.2015</v>
      </c>
      <c r="F3">
        <f>Sheet4!O3</f>
        <v>1</v>
      </c>
      <c r="G3" t="str">
        <f>Sheet4!E3</f>
        <v>Yes</v>
      </c>
      <c r="I3" s="15">
        <f>DATE(VALUE(RIGHT(B3,4)), VALUE(MID(B3,4,2)), VALUE(LEFT(B3,2)))</f>
        <v>42460</v>
      </c>
      <c r="J3" s="15">
        <f t="shared" ref="J3:J46" si="0">DATE(VALUE(RIGHT(C3,4)), VALUE(MID(C3,4,2)), VALUE(LEFT(C3,2)))</f>
        <v>41955</v>
      </c>
      <c r="K3" s="15">
        <f t="shared" ref="K3:K46" si="1">DATE(VALUE(RIGHT(D3,4)), VALUE(MID(D3,4,2)), VALUE(LEFT(D3,2)))</f>
        <v>41851</v>
      </c>
      <c r="L3" s="15">
        <f t="shared" ref="L3:L46" si="2">DATE(VALUE(RIGHT(E3,4)), VALUE(MID(E3,4,2)), VALUE(LEFT(E3,2)))</f>
        <v>42116</v>
      </c>
      <c r="N3">
        <f t="shared" ref="N3:N46" si="3">I3-J3</f>
        <v>505</v>
      </c>
      <c r="O3">
        <f t="shared" ref="O3:O46" si="4">J3-K3</f>
        <v>104</v>
      </c>
      <c r="P3" t="b">
        <f t="shared" ref="P3:P46" si="5">O3&gt;=1825</f>
        <v>0</v>
      </c>
      <c r="Q3" t="b">
        <f t="shared" ref="Q3:Q46" si="6">O3&lt;=365</f>
        <v>1</v>
      </c>
      <c r="R3">
        <f t="shared" ref="R3:R46" si="7">J3-L3</f>
        <v>-161</v>
      </c>
      <c r="U3" t="s">
        <v>517</v>
      </c>
      <c r="V3">
        <f>COUNTIFS($G$2:$G$46, "Yes", $N$2:$N$46, "&gt;=365", $N$2:$N$46, "&lt;730", $F$2:$F$46, "&lt;&gt;1")</f>
        <v>10</v>
      </c>
      <c r="W3">
        <f>COUNTIFS($G$2:$G$46, "No", $N$2:$N$46, "&gt;=365", $N$2:$N$46, "&lt;730", $F$2:$F$46, "&lt;&gt;1")</f>
        <v>9</v>
      </c>
      <c r="X3">
        <f>COUNTIFS($G$2:$G$46, "n./a.", $N$2:$N$46, "&gt;=365", $N$2:$N$46, "&lt;730", $F$2:$F$46, "&lt;&gt;1")</f>
        <v>1</v>
      </c>
      <c r="AB3" t="s">
        <v>517</v>
      </c>
      <c r="AC3">
        <f>COUNTIFS($G$2:$G$46, "Yes", $O$2:$O$46, "&gt;=365", $O$2:$O$46, "&lt;730", $F$2:$F$46, "&lt;&gt;1")</f>
        <v>4</v>
      </c>
      <c r="AD3">
        <f>COUNTIFS($G$2:$G$46, "No", $O$2:$O$46, "&gt;=365", $O$2:$O$46, "&lt;730", $F$2:$F$46, "&lt;&gt;1")</f>
        <v>6</v>
      </c>
      <c r="AE3">
        <f>COUNTIFS($G$2:$G$46, "n./a.", $O$2:$O$46, "&gt;=365", $O$2:$O$46, "&lt;730", $F$2:$F$46, "&lt;&gt;1")</f>
        <v>0</v>
      </c>
      <c r="AI3" t="s">
        <v>517</v>
      </c>
      <c r="AJ3">
        <f>COUNTIFS($G$2:$G$46, "Yes", $R$2:$R$46, "&gt;=365", $R$2:$R$46, "&lt;730", $F$2:$F$46, "&lt;&gt;1")</f>
        <v>1</v>
      </c>
      <c r="AK3">
        <f>COUNTIFS($G$2:$G$46, "No", $R$2:$R$46, "&gt;=365", $R$2:$R$46, "&lt;730", $F$2:$F$46, "&lt;&gt;1")</f>
        <v>5</v>
      </c>
      <c r="AL3">
        <f>COUNTIFS($G$2:$G$46, "n./a.", $R$2:$R$46, "&gt;=365", $R$2:$R$46, "&lt;730", $F$2:$F$46, "&lt;&gt;1")</f>
        <v>0</v>
      </c>
    </row>
    <row r="4" spans="1:39" x14ac:dyDescent="0.25">
      <c r="A4" t="str">
        <f>Sheet4!A4</f>
        <v>4a O 73/14</v>
      </c>
      <c r="B4" s="6" t="str">
        <f>Sheet4!N4</f>
        <v>31.03.2016</v>
      </c>
      <c r="C4" t="str">
        <f>Sheet4!U4</f>
        <v>23.07.2014</v>
      </c>
      <c r="D4" t="str">
        <f>Sheet4!S4</f>
        <v>31.07.2014</v>
      </c>
      <c r="E4" t="str">
        <f>Sheet4!W4</f>
        <v>22.04.2015</v>
      </c>
      <c r="F4">
        <f>Sheet4!O4</f>
        <v>1</v>
      </c>
      <c r="G4" t="str">
        <f>Sheet4!E4</f>
        <v>Yes</v>
      </c>
      <c r="I4" s="15">
        <f t="shared" ref="I4:I46" si="8">DATE(VALUE(RIGHT(B4,4)), VALUE(MID(B4,4,2)), VALUE(LEFT(B4,2)))</f>
        <v>42460</v>
      </c>
      <c r="J4" s="15">
        <f t="shared" si="0"/>
        <v>41843</v>
      </c>
      <c r="K4" s="15">
        <f t="shared" si="1"/>
        <v>41851</v>
      </c>
      <c r="L4" s="15">
        <f t="shared" si="2"/>
        <v>42116</v>
      </c>
      <c r="N4">
        <f t="shared" si="3"/>
        <v>617</v>
      </c>
      <c r="O4">
        <f t="shared" si="4"/>
        <v>-8</v>
      </c>
      <c r="P4" t="b">
        <f t="shared" si="5"/>
        <v>0</v>
      </c>
      <c r="Q4" t="b">
        <f t="shared" si="6"/>
        <v>1</v>
      </c>
      <c r="R4">
        <f t="shared" si="7"/>
        <v>-273</v>
      </c>
      <c r="U4" t="s">
        <v>518</v>
      </c>
      <c r="V4">
        <f>COUNTIFS($G$2:$G$46, "Yes", $N$2:$N$46, "&gt;=730", $N$2:$N$46, "&lt;1095", $F$2:$F$46, "&lt;&gt;1")</f>
        <v>0</v>
      </c>
      <c r="W4">
        <f>COUNTIFS($G$2:$G$46, "No", $N$2:$N$46, "&gt;=730", $N$2:$N$46, "&lt;1095", $F$2:$F$46, "&lt;&gt;1")</f>
        <v>1</v>
      </c>
      <c r="X4">
        <f>COUNTIFS($G$2:$G$46, "n./a.", $N$2:$N$46, "&gt;=730", $N$2:$N$46, "&lt;1095", $F$2:$F$46, "&lt;&gt;1")</f>
        <v>0</v>
      </c>
      <c r="AB4" t="s">
        <v>518</v>
      </c>
      <c r="AC4">
        <f>COUNTIFS($G$2:$G$46, "Yes", $O$2:$O$46, "&gt;=730", $O$2:$O$46, "&lt;1095")</f>
        <v>1</v>
      </c>
      <c r="AD4">
        <f>COUNTIFS($G$2:$G$46, "No", $O$2:$O$46, "&gt;=730", $O$2:$O$46, "&lt;1095", $F$2:$F$46, "&lt;&gt;1")</f>
        <v>2</v>
      </c>
      <c r="AE4">
        <f>COUNTIFS($G$2:$G$46, "n./a.", $O$2:$O$46, "&gt;=730", $O$2:$O$46, "&lt;1095", $F$2:$F$46, "&lt;&gt;1")</f>
        <v>0</v>
      </c>
      <c r="AI4" t="s">
        <v>518</v>
      </c>
      <c r="AJ4">
        <f>COUNTIFS($G$2:$G$46, "Yes", $R$2:$R$46, "&gt;=730", $R$2:$R$46, "&lt;1095", $F$2:$F$46, "&lt;&gt;1")</f>
        <v>2</v>
      </c>
      <c r="AK4">
        <f>COUNTIFS($G$2:$G$46, "No", $R$2:$R$46, "&gt;=730", $R$2:$R$46, "&lt;1095", $F$2:$F$46, "&lt;&gt;1")</f>
        <v>2</v>
      </c>
      <c r="AL4">
        <f>COUNTIFS($G$2:$G$46, "n./a.", $R$2:$R$46, "&gt;=730", $R$2:$R$46, "&lt;1095", $F$2:$F$46, "&lt;&gt;1")</f>
        <v>1</v>
      </c>
    </row>
    <row r="5" spans="1:39" x14ac:dyDescent="0.25">
      <c r="A5" t="str">
        <f>Sheet4!A5</f>
        <v>4a O 16/16</v>
      </c>
      <c r="B5" s="6" t="str">
        <f>Sheet4!N5</f>
        <v>13.07.2017</v>
      </c>
      <c r="C5" t="str">
        <f>Sheet4!U5</f>
        <v>18.02.2016</v>
      </c>
      <c r="D5" t="str">
        <f>Sheet4!S5</f>
        <v>04.12.2012</v>
      </c>
      <c r="E5" t="str">
        <f>Sheet4!W5</f>
        <v>04.12.2012</v>
      </c>
      <c r="F5">
        <f>Sheet4!O5</f>
        <v>0</v>
      </c>
      <c r="G5" t="str">
        <f>Sheet4!E5</f>
        <v>No</v>
      </c>
      <c r="I5" s="15">
        <f t="shared" si="8"/>
        <v>42929</v>
      </c>
      <c r="J5" s="15">
        <f t="shared" si="0"/>
        <v>42418</v>
      </c>
      <c r="K5" s="15">
        <f t="shared" si="1"/>
        <v>41247</v>
      </c>
      <c r="L5" s="15">
        <f t="shared" si="2"/>
        <v>41247</v>
      </c>
      <c r="N5">
        <f t="shared" si="3"/>
        <v>511</v>
      </c>
      <c r="O5">
        <f t="shared" si="4"/>
        <v>1171</v>
      </c>
      <c r="P5" t="b">
        <f t="shared" si="5"/>
        <v>0</v>
      </c>
      <c r="Q5" t="b">
        <f t="shared" si="6"/>
        <v>0</v>
      </c>
      <c r="R5">
        <f t="shared" si="7"/>
        <v>1171</v>
      </c>
      <c r="U5" t="s">
        <v>519</v>
      </c>
      <c r="V5">
        <f>COUNTIFS($G$2:$G$46, "Yes", $N$2:$N$46, "&gt;=1095", $N$2:$N$46, "&lt;1825", $F$2:$F$46, "&lt;&gt;1")</f>
        <v>1</v>
      </c>
      <c r="W5">
        <f>COUNTIFS($G$2:$G$46, "No", $N$2:$N$46, "&gt;=1095", $N$2:$N$46, "&lt;1825", $F$2:$F$46, "&lt;&gt;1")</f>
        <v>0</v>
      </c>
      <c r="X5">
        <f>COUNTIFS($G$2:$G$46, "n./a.", $N$2:$N$46, "&gt;=1095", $N$2:$N$46, "&lt;1825", $F$2:$F$46, "&lt;&gt;1")</f>
        <v>0</v>
      </c>
      <c r="AB5" t="s">
        <v>519</v>
      </c>
      <c r="AC5">
        <f>COUNTIFS($G$2:$G$46, "Yes", $O$2:$O$46, "&gt;=1095", $O$2:$O$46, "&lt;1825", $F$2:$F$46, "&lt;&gt;1")</f>
        <v>1</v>
      </c>
      <c r="AD5">
        <f>COUNTIFS($G$2:$G$46, "No", $O$2:$O$46, "&gt;=1095", $O$2:$O$46, "&lt;1825", $F$2:$F$46, "&lt;&gt;1")</f>
        <v>4</v>
      </c>
      <c r="AE5">
        <f>COUNTIFS($G$2:$G$46, "n./a.", $O$2:$O$46, "&gt;=1095", $O$2:$O$46, "&lt;1825", $F$2:$F$46, "&lt;&gt;1")</f>
        <v>1</v>
      </c>
      <c r="AF5" t="s">
        <v>523</v>
      </c>
      <c r="AI5" t="s">
        <v>519</v>
      </c>
      <c r="AJ5">
        <f>COUNTIFS($G$2:$G$46, "Yes", $R$2:$R$46, "&gt;=1095", $R$2:$R$46, "&lt;1825", $F$2:$F$46, "&lt;&gt;1")</f>
        <v>0</v>
      </c>
      <c r="AK5">
        <f>COUNTIFS($G$2:$G$46, "No", $R$2:$R$46, "&gt;=1095", $R$2:$R$46, "&lt;1825", $F$2:$F$46, "&lt;&gt;1")</f>
        <v>3</v>
      </c>
      <c r="AL5">
        <f>COUNTIFS($G$2:$G$46, "n./a.", $R$2:$R$46, "&gt;=1095", $R$2:$R$46, "&lt;1825", $F$2:$F$46, "&lt;&gt;1")</f>
        <v>0</v>
      </c>
      <c r="AM5" t="s">
        <v>523</v>
      </c>
    </row>
    <row r="6" spans="1:39" x14ac:dyDescent="0.25">
      <c r="A6" t="str">
        <f>Sheet4!A6</f>
        <v>4a O 35/16</v>
      </c>
      <c r="B6" s="6" t="str">
        <f>Sheet4!N6</f>
        <v>13.07.2017</v>
      </c>
      <c r="C6" t="str">
        <f>Sheet4!U6</f>
        <v>09.04.2016</v>
      </c>
      <c r="D6" t="str">
        <f>Sheet4!S6</f>
        <v>04.12.2012</v>
      </c>
      <c r="E6" t="str">
        <f>Sheet4!W6</f>
        <v>04.12.2012</v>
      </c>
      <c r="F6">
        <f>Sheet4!O6</f>
        <v>0</v>
      </c>
      <c r="G6" t="str">
        <f>Sheet4!E6</f>
        <v>No</v>
      </c>
      <c r="I6" s="15">
        <f t="shared" si="8"/>
        <v>42929</v>
      </c>
      <c r="J6" s="15">
        <f t="shared" si="0"/>
        <v>42469</v>
      </c>
      <c r="K6" s="15">
        <f t="shared" si="1"/>
        <v>41247</v>
      </c>
      <c r="L6" s="15">
        <f t="shared" si="2"/>
        <v>41247</v>
      </c>
      <c r="N6">
        <f t="shared" si="3"/>
        <v>460</v>
      </c>
      <c r="O6">
        <f t="shared" si="4"/>
        <v>1222</v>
      </c>
      <c r="P6" t="b">
        <f t="shared" si="5"/>
        <v>0</v>
      </c>
      <c r="Q6" t="b">
        <f t="shared" si="6"/>
        <v>0</v>
      </c>
      <c r="R6">
        <f t="shared" si="7"/>
        <v>1222</v>
      </c>
      <c r="U6" t="s">
        <v>520</v>
      </c>
      <c r="V6">
        <f>COUNTIFS($G$2:$G$46, "Yes", $N$2:$N$46, "&gt;=1825")</f>
        <v>0</v>
      </c>
      <c r="W6">
        <f>COUNTIFS($G$2:$G$46, "No", $N$2:$N$46, "&gt;=1825")</f>
        <v>0</v>
      </c>
      <c r="X6">
        <f>COUNTIFS($G$2:$G$46, "n./a.", $N$2:$N$46, "&gt;=1825")</f>
        <v>0</v>
      </c>
      <c r="AB6" t="s">
        <v>520</v>
      </c>
      <c r="AC6">
        <f>COUNTIFS($G$2:$G$46, "Yes", $O$2:$O$46, "&gt;=1825", $F$2:$F$46, "&lt;&gt;1")</f>
        <v>4</v>
      </c>
      <c r="AD6">
        <f>COUNTIFS($G$2:$G$46, "No", $O$2:$O$46, "&gt;=1825", $F$2:$F$46, "&lt;&gt;1")</f>
        <v>1</v>
      </c>
      <c r="AE6">
        <f>COUNTIFS($G$2:$G$46, "n./a.", $O$2:$O$46, "&gt;=1825", $F$2:$F$46, "&lt;&gt;1")</f>
        <v>0</v>
      </c>
      <c r="AF6" t="s">
        <v>524</v>
      </c>
      <c r="AG6" t="s">
        <v>536</v>
      </c>
      <c r="AI6" t="s">
        <v>520</v>
      </c>
      <c r="AJ6">
        <f>COUNTIFS($G$2:$G$46, "Yes", $R$2:$R$46, "&gt;=1825", $F$2:$F$46, "&lt;&gt;1")</f>
        <v>4</v>
      </c>
      <c r="AK6">
        <f>COUNTIFS($G$2:$G$46, "No", $R$2:$R$46, "&gt;=1825", $F$2:$F$46, "&lt;&gt;1")</f>
        <v>0</v>
      </c>
      <c r="AL6">
        <f>COUNTIFS($G$2:$G$46, "n./a.", $R$2:$R$46, "&gt;=1825", $F$2:$F$46, "&lt;&gt;1")</f>
        <v>0</v>
      </c>
      <c r="AM6" t="s">
        <v>525</v>
      </c>
    </row>
    <row r="7" spans="1:39" x14ac:dyDescent="0.25">
      <c r="A7" t="str">
        <f>Sheet4!A7</f>
        <v>4c O 72/17</v>
      </c>
      <c r="B7" s="6" t="str">
        <f>Sheet4!N7</f>
        <v>11.07.2018</v>
      </c>
      <c r="C7" t="str">
        <f>Sheet4!U7</f>
        <v>25.08.2017</v>
      </c>
      <c r="D7" t="str">
        <f>Sheet4!S7</f>
        <v>25.03.2016</v>
      </c>
      <c r="E7" t="str">
        <f>Sheet4!W7</f>
        <v>25.03.2016</v>
      </c>
      <c r="F7">
        <f>Sheet4!O7</f>
        <v>0</v>
      </c>
      <c r="G7" t="str">
        <f>Sheet4!E7</f>
        <v>No</v>
      </c>
      <c r="I7" s="15">
        <f t="shared" si="8"/>
        <v>43292</v>
      </c>
      <c r="J7" s="15">
        <f t="shared" si="0"/>
        <v>42972</v>
      </c>
      <c r="K7" s="15">
        <f t="shared" si="1"/>
        <v>42454</v>
      </c>
      <c r="L7" s="15">
        <f t="shared" si="2"/>
        <v>42454</v>
      </c>
      <c r="N7">
        <f t="shared" si="3"/>
        <v>320</v>
      </c>
      <c r="O7">
        <f t="shared" si="4"/>
        <v>518</v>
      </c>
      <c r="P7" t="b">
        <f t="shared" si="5"/>
        <v>0</v>
      </c>
      <c r="Q7" t="b">
        <f t="shared" si="6"/>
        <v>0</v>
      </c>
      <c r="R7">
        <f t="shared" si="7"/>
        <v>518</v>
      </c>
      <c r="V7">
        <f>SUM(V2:V6)</f>
        <v>14</v>
      </c>
      <c r="W7">
        <f t="shared" ref="W7:X7" si="9">SUM(W2:W6)</f>
        <v>14</v>
      </c>
      <c r="X7">
        <f t="shared" si="9"/>
        <v>1</v>
      </c>
      <c r="Y7">
        <f>SUM(V7:X7)</f>
        <v>29</v>
      </c>
      <c r="AC7">
        <f>SUM(AC2:AC6)</f>
        <v>11</v>
      </c>
      <c r="AD7">
        <f t="shared" ref="AD7" si="10">SUM(AD2:AD6)</f>
        <v>13</v>
      </c>
      <c r="AE7">
        <f t="shared" ref="AE7" si="11">SUM(AE2:AE6)</f>
        <v>1</v>
      </c>
      <c r="AF7">
        <f>SUM(AC7:AE7)</f>
        <v>25</v>
      </c>
      <c r="AJ7">
        <f>SUM(AJ2:AJ6)</f>
        <v>13</v>
      </c>
      <c r="AK7">
        <f t="shared" ref="AK7" si="12">SUM(AK2:AK6)</f>
        <v>13</v>
      </c>
      <c r="AL7">
        <f t="shared" ref="AL7" si="13">SUM(AL2:AL6)</f>
        <v>1</v>
      </c>
      <c r="AM7">
        <f>SUM(AJ7:AL7)</f>
        <v>27</v>
      </c>
    </row>
    <row r="8" spans="1:39" x14ac:dyDescent="0.25">
      <c r="A8" t="str">
        <f>Sheet4!A8</f>
        <v>4c O 77/17</v>
      </c>
      <c r="B8" s="6" t="str">
        <f>Sheet4!N8</f>
        <v>11.07.2018</v>
      </c>
      <c r="C8" t="str">
        <f>Sheet4!U8</f>
        <v>11.09.2017</v>
      </c>
      <c r="D8" t="str">
        <f>Sheet4!S8</f>
        <v>25.03.2016</v>
      </c>
      <c r="E8" t="str">
        <f>Sheet4!W8</f>
        <v>25.03.2016</v>
      </c>
      <c r="F8">
        <f>Sheet4!O8</f>
        <v>0</v>
      </c>
      <c r="G8" t="str">
        <f>Sheet4!E8</f>
        <v>No</v>
      </c>
      <c r="I8" s="15">
        <f t="shared" si="8"/>
        <v>43292</v>
      </c>
      <c r="J8" s="15">
        <f t="shared" si="0"/>
        <v>42989</v>
      </c>
      <c r="K8" s="15">
        <f t="shared" si="1"/>
        <v>42454</v>
      </c>
      <c r="L8" s="15">
        <f t="shared" si="2"/>
        <v>42454</v>
      </c>
      <c r="N8">
        <f t="shared" si="3"/>
        <v>303</v>
      </c>
      <c r="O8">
        <f t="shared" si="4"/>
        <v>535</v>
      </c>
      <c r="P8" t="b">
        <f t="shared" si="5"/>
        <v>0</v>
      </c>
      <c r="Q8" t="b">
        <f t="shared" si="6"/>
        <v>0</v>
      </c>
      <c r="R8">
        <f t="shared" si="7"/>
        <v>535</v>
      </c>
    </row>
    <row r="9" spans="1:39" x14ac:dyDescent="0.25">
      <c r="A9" t="str">
        <f>Sheet4!A9</f>
        <v>4a O 15/17</v>
      </c>
      <c r="B9" s="6" t="str">
        <f>Sheet4!N9</f>
        <v>09.11.2018</v>
      </c>
      <c r="C9" t="str">
        <f>Sheet4!U9</f>
        <v>05.02.2017</v>
      </c>
      <c r="D9" t="str">
        <f>Sheet4!S9</f>
        <v>08.09.2011</v>
      </c>
      <c r="E9" t="str">
        <f>Sheet4!W9</f>
        <v>08.09.2011</v>
      </c>
      <c r="F9">
        <f>Sheet4!O9</f>
        <v>0</v>
      </c>
      <c r="G9" t="str">
        <f>Sheet4!E9</f>
        <v>Yes</v>
      </c>
      <c r="I9" s="15">
        <f t="shared" si="8"/>
        <v>43413</v>
      </c>
      <c r="J9" s="15">
        <f t="shared" si="0"/>
        <v>42771</v>
      </c>
      <c r="K9" s="15">
        <f t="shared" si="1"/>
        <v>40794</v>
      </c>
      <c r="L9" s="15">
        <f t="shared" si="2"/>
        <v>40794</v>
      </c>
      <c r="N9">
        <f t="shared" si="3"/>
        <v>642</v>
      </c>
      <c r="O9">
        <f t="shared" si="4"/>
        <v>1977</v>
      </c>
      <c r="P9">
        <v>1</v>
      </c>
      <c r="Q9" t="b">
        <f t="shared" si="6"/>
        <v>0</v>
      </c>
      <c r="R9">
        <f t="shared" si="7"/>
        <v>1977</v>
      </c>
    </row>
    <row r="10" spans="1:39" x14ac:dyDescent="0.25">
      <c r="A10" t="str">
        <f>Sheet4!A10</f>
        <v>4c O 3/17</v>
      </c>
      <c r="B10" s="6" t="str">
        <f>Sheet4!N10</f>
        <v>21.12.2018</v>
      </c>
      <c r="C10" t="str">
        <f>Sheet4!U10</f>
        <v>11.01.2017</v>
      </c>
      <c r="D10" t="str">
        <f>Sheet4!S10</f>
        <v>03.11.2008</v>
      </c>
      <c r="E10" t="str">
        <f>Sheet4!W10</f>
        <v>06.09.2011</v>
      </c>
      <c r="F10">
        <f>Sheet4!O10</f>
        <v>0</v>
      </c>
      <c r="G10" t="str">
        <f>Sheet4!E10</f>
        <v>Yes</v>
      </c>
      <c r="I10" s="15">
        <f t="shared" si="8"/>
        <v>43455</v>
      </c>
      <c r="J10" s="15">
        <f t="shared" si="0"/>
        <v>42746</v>
      </c>
      <c r="K10" s="15">
        <f t="shared" si="1"/>
        <v>39755</v>
      </c>
      <c r="L10" s="15">
        <f t="shared" si="2"/>
        <v>40792</v>
      </c>
      <c r="N10">
        <f t="shared" si="3"/>
        <v>709</v>
      </c>
      <c r="O10">
        <f t="shared" si="4"/>
        <v>2991</v>
      </c>
      <c r="P10">
        <v>1</v>
      </c>
      <c r="Q10" t="b">
        <f t="shared" si="6"/>
        <v>0</v>
      </c>
      <c r="R10">
        <f t="shared" si="7"/>
        <v>1954</v>
      </c>
    </row>
    <row r="11" spans="1:39" x14ac:dyDescent="0.25">
      <c r="A11" t="str">
        <f>Sheet4!A11</f>
        <v>4a O 17/17</v>
      </c>
      <c r="B11" s="6" t="str">
        <f>Sheet4!N11</f>
        <v>09.11.2018</v>
      </c>
      <c r="C11" t="str">
        <f>Sheet4!U11</f>
        <v>10.02.2017</v>
      </c>
      <c r="D11" t="str">
        <f>Sheet4!S11</f>
        <v>06.09.2011</v>
      </c>
      <c r="E11" t="str">
        <f>Sheet4!W11</f>
        <v>06.09.2011</v>
      </c>
      <c r="F11">
        <f>Sheet4!O11</f>
        <v>0</v>
      </c>
      <c r="G11" t="str">
        <f>Sheet4!E11</f>
        <v>Yes</v>
      </c>
      <c r="I11" s="15">
        <f t="shared" si="8"/>
        <v>43413</v>
      </c>
      <c r="J11" s="15">
        <f t="shared" si="0"/>
        <v>42776</v>
      </c>
      <c r="K11" s="15">
        <f t="shared" si="1"/>
        <v>40792</v>
      </c>
      <c r="L11" s="15">
        <f t="shared" si="2"/>
        <v>40792</v>
      </c>
      <c r="N11">
        <f t="shared" si="3"/>
        <v>637</v>
      </c>
      <c r="O11">
        <f t="shared" si="4"/>
        <v>1984</v>
      </c>
      <c r="P11">
        <v>1</v>
      </c>
      <c r="Q11" t="b">
        <f t="shared" si="6"/>
        <v>0</v>
      </c>
      <c r="R11">
        <f t="shared" si="7"/>
        <v>1984</v>
      </c>
    </row>
    <row r="12" spans="1:39" x14ac:dyDescent="0.25">
      <c r="A12" t="str">
        <f>Sheet4!A12</f>
        <v>4c O 81/17</v>
      </c>
      <c r="B12" s="6" t="str">
        <f>Sheet4!N12</f>
        <v>11.07.2018</v>
      </c>
      <c r="C12" t="str">
        <f>Sheet4!U12</f>
        <v>24.09.2017</v>
      </c>
      <c r="D12" t="str">
        <f>Sheet4!S12</f>
        <v>06.10.2015</v>
      </c>
      <c r="E12" t="str">
        <f>Sheet4!W12</f>
        <v>27.01.2016</v>
      </c>
      <c r="F12">
        <f>Sheet4!O12</f>
        <v>0</v>
      </c>
      <c r="G12" t="str">
        <f>Sheet4!E12</f>
        <v>No</v>
      </c>
      <c r="I12" s="15">
        <f t="shared" si="8"/>
        <v>43292</v>
      </c>
      <c r="J12" s="15">
        <f t="shared" si="0"/>
        <v>43002</v>
      </c>
      <c r="K12" s="15">
        <f t="shared" si="1"/>
        <v>42283</v>
      </c>
      <c r="L12" s="15">
        <f t="shared" si="2"/>
        <v>42396</v>
      </c>
      <c r="N12">
        <f t="shared" si="3"/>
        <v>290</v>
      </c>
      <c r="O12">
        <f t="shared" si="4"/>
        <v>719</v>
      </c>
      <c r="P12" t="b">
        <f t="shared" si="5"/>
        <v>0</v>
      </c>
      <c r="Q12" t="b">
        <f t="shared" si="6"/>
        <v>0</v>
      </c>
      <c r="R12">
        <f t="shared" si="7"/>
        <v>606</v>
      </c>
    </row>
    <row r="13" spans="1:39" x14ac:dyDescent="0.25">
      <c r="A13" t="str">
        <f>Sheet4!A13</f>
        <v>4c O 12/17</v>
      </c>
      <c r="B13" s="6" t="str">
        <f>Sheet4!N13</f>
        <v>08.01.2019</v>
      </c>
      <c r="C13" t="str">
        <f>Sheet4!U13</f>
        <v>10.02.2017</v>
      </c>
      <c r="D13" t="str">
        <f>Sheet4!S13</f>
        <v>06.09.2011</v>
      </c>
      <c r="E13" t="str">
        <f>Sheet4!W13</f>
        <v>06.09.2011</v>
      </c>
      <c r="F13">
        <f>Sheet4!O13</f>
        <v>0</v>
      </c>
      <c r="G13" t="str">
        <f>Sheet4!E13</f>
        <v>Yes</v>
      </c>
      <c r="I13" s="15">
        <f t="shared" si="8"/>
        <v>43473</v>
      </c>
      <c r="J13" s="15">
        <f t="shared" si="0"/>
        <v>42776</v>
      </c>
      <c r="K13" s="15">
        <f t="shared" si="1"/>
        <v>40792</v>
      </c>
      <c r="L13" s="15">
        <f t="shared" si="2"/>
        <v>40792</v>
      </c>
      <c r="N13">
        <f t="shared" si="3"/>
        <v>697</v>
      </c>
      <c r="O13">
        <f t="shared" si="4"/>
        <v>1984</v>
      </c>
      <c r="P13">
        <v>1</v>
      </c>
      <c r="Q13" t="b">
        <f t="shared" si="6"/>
        <v>0</v>
      </c>
      <c r="R13">
        <f t="shared" si="7"/>
        <v>1984</v>
      </c>
    </row>
    <row r="14" spans="1:39" x14ac:dyDescent="0.25">
      <c r="A14" t="str">
        <f>Sheet4!A14</f>
        <v>4c O 44/18</v>
      </c>
      <c r="B14" s="6" t="str">
        <f>Sheet4!N14</f>
        <v>07.05.2020</v>
      </c>
      <c r="C14">
        <f>Sheet4!U14</f>
        <v>0</v>
      </c>
      <c r="D14" t="str">
        <f>Sheet4!S14</f>
        <v>?</v>
      </c>
      <c r="E14" t="str">
        <f>Sheet4!W14</f>
        <v>11.07.2018</v>
      </c>
      <c r="F14">
        <f>Sheet4!O14</f>
        <v>0</v>
      </c>
      <c r="G14" t="str">
        <f>Sheet4!E14</f>
        <v>Yes</v>
      </c>
      <c r="I14" s="15">
        <f t="shared" si="8"/>
        <v>43958</v>
      </c>
      <c r="J14" s="15" t="e">
        <f t="shared" si="0"/>
        <v>#VALUE!</v>
      </c>
      <c r="K14" s="15" t="e">
        <f t="shared" si="1"/>
        <v>#VALUE!</v>
      </c>
      <c r="L14" s="15">
        <f t="shared" si="2"/>
        <v>43292</v>
      </c>
      <c r="N14" t="e">
        <f t="shared" si="3"/>
        <v>#VALUE!</v>
      </c>
      <c r="O14" t="e">
        <f t="shared" si="4"/>
        <v>#VALUE!</v>
      </c>
      <c r="P14" t="e">
        <f t="shared" si="5"/>
        <v>#VALUE!</v>
      </c>
      <c r="Q14" t="e">
        <f t="shared" si="6"/>
        <v>#VALUE!</v>
      </c>
      <c r="R14" t="e">
        <f t="shared" si="7"/>
        <v>#VALUE!</v>
      </c>
    </row>
    <row r="15" spans="1:39" x14ac:dyDescent="0.25">
      <c r="A15" t="str">
        <f>Sheet4!A15</f>
        <v>4c O 56/18</v>
      </c>
      <c r="B15" s="6" t="str">
        <f>Sheet4!N15</f>
        <v>07.05.2020</v>
      </c>
      <c r="C15" t="str">
        <f>Sheet4!U15</f>
        <v>24.09.2018</v>
      </c>
      <c r="D15" s="18" t="str">
        <f>Sheet4!S15</f>
        <v>?</v>
      </c>
      <c r="E15" s="18" t="str">
        <f>Sheet4!W15</f>
        <v>03.09.2018</v>
      </c>
      <c r="F15">
        <f>Sheet4!O15</f>
        <v>0</v>
      </c>
      <c r="G15" t="str">
        <f>Sheet4!E15</f>
        <v>Yes</v>
      </c>
      <c r="I15" s="15">
        <f t="shared" si="8"/>
        <v>43958</v>
      </c>
      <c r="J15" s="15">
        <f t="shared" si="0"/>
        <v>43367</v>
      </c>
      <c r="K15" s="15" t="e">
        <f t="shared" si="1"/>
        <v>#VALUE!</v>
      </c>
      <c r="L15" s="15">
        <f t="shared" si="2"/>
        <v>43346</v>
      </c>
      <c r="N15">
        <f t="shared" si="3"/>
        <v>591</v>
      </c>
      <c r="O15" t="e">
        <f t="shared" si="4"/>
        <v>#VALUE!</v>
      </c>
      <c r="P15" t="e">
        <f t="shared" si="5"/>
        <v>#VALUE!</v>
      </c>
      <c r="Q15" t="e">
        <f t="shared" si="6"/>
        <v>#VALUE!</v>
      </c>
      <c r="R15">
        <f t="shared" si="7"/>
        <v>21</v>
      </c>
      <c r="S15" t="s">
        <v>534</v>
      </c>
    </row>
    <row r="16" spans="1:39" x14ac:dyDescent="0.25">
      <c r="A16" t="str">
        <f>Sheet4!A16</f>
        <v>4c O 69/18</v>
      </c>
      <c r="B16" s="6" t="str">
        <f>Sheet4!N16</f>
        <v>07.05.2020</v>
      </c>
      <c r="C16" t="str">
        <f>Sheet4!U16</f>
        <v>22.11.2018</v>
      </c>
      <c r="D16" s="18" t="str">
        <f>Sheet4!S16</f>
        <v>?</v>
      </c>
      <c r="E16" s="18" t="str">
        <f>Sheet4!W16</f>
        <v>07.11.2017</v>
      </c>
      <c r="F16">
        <f>Sheet4!O16</f>
        <v>0</v>
      </c>
      <c r="G16" t="str">
        <f>Sheet4!E16</f>
        <v>Yes</v>
      </c>
      <c r="I16" s="15">
        <f t="shared" si="8"/>
        <v>43958</v>
      </c>
      <c r="J16" s="15">
        <f t="shared" si="0"/>
        <v>43426</v>
      </c>
      <c r="K16" s="15" t="e">
        <f t="shared" si="1"/>
        <v>#VALUE!</v>
      </c>
      <c r="L16" s="15">
        <f t="shared" si="2"/>
        <v>43046</v>
      </c>
      <c r="N16">
        <f t="shared" si="3"/>
        <v>532</v>
      </c>
      <c r="O16" t="e">
        <f t="shared" si="4"/>
        <v>#VALUE!</v>
      </c>
      <c r="P16" t="e">
        <f t="shared" si="5"/>
        <v>#VALUE!</v>
      </c>
      <c r="Q16" t="e">
        <f t="shared" si="6"/>
        <v>#VALUE!</v>
      </c>
      <c r="R16">
        <f t="shared" si="7"/>
        <v>380</v>
      </c>
      <c r="S16" t="s">
        <v>533</v>
      </c>
    </row>
    <row r="17" spans="1:32" x14ac:dyDescent="0.25">
      <c r="A17" s="10" t="str">
        <f>Sheet4!A17</f>
        <v>4c O 17/19</v>
      </c>
      <c r="B17" s="6" t="str">
        <f>Sheet4!N17</f>
        <v>26.11.2020</v>
      </c>
      <c r="C17" t="str">
        <f>Sheet4!U17</f>
        <v>21.03.2019</v>
      </c>
      <c r="D17" t="str">
        <f>Sheet4!S17</f>
        <v>01.03.2016</v>
      </c>
      <c r="E17" t="str">
        <f>Sheet4!W17</f>
        <v>09.11.2016</v>
      </c>
      <c r="F17">
        <f>Sheet4!O17</f>
        <v>0</v>
      </c>
      <c r="G17" t="str">
        <f>Sheet4!E17</f>
        <v>n./a.</v>
      </c>
      <c r="I17" s="15">
        <f t="shared" si="8"/>
        <v>44161</v>
      </c>
      <c r="J17" s="15">
        <f t="shared" si="0"/>
        <v>43545</v>
      </c>
      <c r="K17" s="15">
        <f t="shared" si="1"/>
        <v>42430</v>
      </c>
      <c r="L17" s="15">
        <f t="shared" si="2"/>
        <v>42683</v>
      </c>
      <c r="N17">
        <f t="shared" si="3"/>
        <v>616</v>
      </c>
      <c r="O17">
        <f t="shared" si="4"/>
        <v>1115</v>
      </c>
      <c r="P17" t="b">
        <f t="shared" si="5"/>
        <v>0</v>
      </c>
      <c r="Q17" t="b">
        <f t="shared" si="6"/>
        <v>0</v>
      </c>
      <c r="R17">
        <f t="shared" si="7"/>
        <v>862</v>
      </c>
    </row>
    <row r="18" spans="1:32" x14ac:dyDescent="0.25">
      <c r="A18" t="str">
        <f>Sheet4!A18</f>
        <v>7 O 96/14</v>
      </c>
      <c r="B18" s="6" t="str">
        <f>Sheet4!N18</f>
        <v>08.01.2016</v>
      </c>
      <c r="C18" t="str">
        <f>Sheet4!U18</f>
        <v>22.06.2014</v>
      </c>
      <c r="D18">
        <f>Sheet4!S18</f>
        <v>2013</v>
      </c>
      <c r="E18" s="11">
        <f>Sheet4!W18</f>
        <v>2013</v>
      </c>
      <c r="F18">
        <f>Sheet4!O18</f>
        <v>1</v>
      </c>
      <c r="G18" t="str">
        <f>Sheet4!E18</f>
        <v>Yes</v>
      </c>
      <c r="I18" s="15">
        <f t="shared" si="8"/>
        <v>42377</v>
      </c>
      <c r="J18" s="15">
        <f t="shared" si="0"/>
        <v>41812</v>
      </c>
      <c r="K18" s="15">
        <f t="shared" si="1"/>
        <v>41353</v>
      </c>
      <c r="L18" s="15">
        <f t="shared" si="2"/>
        <v>41353</v>
      </c>
      <c r="N18">
        <f t="shared" si="3"/>
        <v>565</v>
      </c>
      <c r="O18">
        <f t="shared" si="4"/>
        <v>459</v>
      </c>
      <c r="P18" t="b">
        <f t="shared" si="5"/>
        <v>0</v>
      </c>
      <c r="Q18" t="b">
        <f t="shared" si="6"/>
        <v>0</v>
      </c>
      <c r="R18">
        <f t="shared" si="7"/>
        <v>459</v>
      </c>
    </row>
    <row r="19" spans="1:32" x14ac:dyDescent="0.25">
      <c r="A19" t="str">
        <f>Sheet4!A19</f>
        <v>7 O 66/15</v>
      </c>
      <c r="B19" s="6" t="str">
        <f>Sheet4!N19</f>
        <v>29.01.2016</v>
      </c>
      <c r="C19" t="str">
        <f>Sheet4!U19</f>
        <v>05.04.2015</v>
      </c>
      <c r="D19" t="str">
        <f>Sheet4!S19</f>
        <v>19.03.2014</v>
      </c>
      <c r="E19" t="str">
        <f>Sheet4!W19</f>
        <v>19.03.2014</v>
      </c>
      <c r="F19">
        <f>Sheet4!O19</f>
        <v>1</v>
      </c>
      <c r="G19" t="str">
        <f>Sheet4!E19</f>
        <v>Yes</v>
      </c>
      <c r="I19" s="15">
        <f t="shared" si="8"/>
        <v>42398</v>
      </c>
      <c r="J19" s="15">
        <f t="shared" si="0"/>
        <v>42099</v>
      </c>
      <c r="K19" s="15">
        <f t="shared" si="1"/>
        <v>41717</v>
      </c>
      <c r="L19" s="15">
        <f t="shared" si="2"/>
        <v>41717</v>
      </c>
      <c r="N19">
        <f t="shared" si="3"/>
        <v>299</v>
      </c>
      <c r="O19">
        <f t="shared" si="4"/>
        <v>382</v>
      </c>
      <c r="P19" t="b">
        <f t="shared" si="5"/>
        <v>0</v>
      </c>
      <c r="Q19" t="b">
        <f t="shared" si="6"/>
        <v>0</v>
      </c>
      <c r="R19">
        <f t="shared" si="7"/>
        <v>382</v>
      </c>
    </row>
    <row r="20" spans="1:32" x14ac:dyDescent="0.25">
      <c r="A20" t="str">
        <f>Sheet4!A20</f>
        <v>7 O 115/16</v>
      </c>
      <c r="B20" s="6" t="str">
        <f>Sheet4!N20</f>
        <v>04.09.2019</v>
      </c>
      <c r="C20" t="str">
        <f>Sheet4!U20</f>
        <v>02.07.2016</v>
      </c>
      <c r="D20" t="str">
        <f>Sheet4!S20</f>
        <v>01.06.2015</v>
      </c>
      <c r="E20" t="str">
        <f>Sheet4!W20</f>
        <v>01.06.2016</v>
      </c>
      <c r="F20">
        <f>Sheet4!O20</f>
        <v>0</v>
      </c>
      <c r="G20" t="str">
        <f>Sheet4!E20</f>
        <v>Yes</v>
      </c>
      <c r="I20" s="15">
        <f t="shared" si="8"/>
        <v>43712</v>
      </c>
      <c r="J20" s="15">
        <f t="shared" si="0"/>
        <v>42553</v>
      </c>
      <c r="K20" s="15">
        <f t="shared" si="1"/>
        <v>42156</v>
      </c>
      <c r="L20" s="15">
        <f t="shared" si="2"/>
        <v>42522</v>
      </c>
      <c r="N20">
        <f t="shared" si="3"/>
        <v>1159</v>
      </c>
      <c r="O20">
        <f t="shared" si="4"/>
        <v>397</v>
      </c>
      <c r="P20" t="b">
        <f t="shared" si="5"/>
        <v>0</v>
      </c>
      <c r="Q20" t="b">
        <f t="shared" si="6"/>
        <v>0</v>
      </c>
      <c r="R20">
        <f t="shared" si="7"/>
        <v>31</v>
      </c>
    </row>
    <row r="21" spans="1:32" x14ac:dyDescent="0.25">
      <c r="A21" t="str">
        <f>Sheet4!A21</f>
        <v>7 O 165/16</v>
      </c>
      <c r="B21" s="6" t="str">
        <f>Sheet4!N21</f>
        <v>13.07.2018</v>
      </c>
      <c r="C21" t="str">
        <f>Sheet4!U21</f>
        <v>23.09.2016</v>
      </c>
      <c r="D21" t="str">
        <f>Sheet4!S21</f>
        <v>15.12.2014</v>
      </c>
      <c r="E21" t="str">
        <f>Sheet4!W21</f>
        <v>03.08.2015</v>
      </c>
      <c r="F21">
        <f>Sheet4!O21</f>
        <v>0</v>
      </c>
      <c r="G21" t="str">
        <f>Sheet4!E21</f>
        <v>No</v>
      </c>
      <c r="I21" s="15">
        <f t="shared" si="8"/>
        <v>43294</v>
      </c>
      <c r="J21" s="15">
        <f t="shared" si="0"/>
        <v>42636</v>
      </c>
      <c r="K21" s="15">
        <f t="shared" si="1"/>
        <v>41988</v>
      </c>
      <c r="L21" s="15">
        <f t="shared" si="2"/>
        <v>42219</v>
      </c>
      <c r="N21">
        <f t="shared" si="3"/>
        <v>658</v>
      </c>
      <c r="O21">
        <f t="shared" si="4"/>
        <v>648</v>
      </c>
      <c r="P21" t="b">
        <f t="shared" si="5"/>
        <v>0</v>
      </c>
      <c r="Q21" t="b">
        <f t="shared" si="6"/>
        <v>0</v>
      </c>
      <c r="R21">
        <f t="shared" si="7"/>
        <v>417</v>
      </c>
    </row>
    <row r="22" spans="1:32" x14ac:dyDescent="0.25">
      <c r="A22" t="str">
        <f>Sheet4!A22</f>
        <v>7 O 19/16</v>
      </c>
      <c r="B22" s="6" t="str">
        <f>Sheet4!N22</f>
        <v>17.11.2016</v>
      </c>
      <c r="C22" t="str">
        <f>Sheet4!U22</f>
        <v>19.01.2016</v>
      </c>
      <c r="D22" t="str">
        <f>Sheet4!S22</f>
        <v>05.07.2014</v>
      </c>
      <c r="E22" t="str">
        <f>Sheet4!W22</f>
        <v>28.07.2015</v>
      </c>
      <c r="F22">
        <f>Sheet4!O22</f>
        <v>0</v>
      </c>
      <c r="G22" t="str">
        <f>Sheet4!E22</f>
        <v>No</v>
      </c>
      <c r="I22" s="15">
        <f t="shared" si="8"/>
        <v>42691</v>
      </c>
      <c r="J22" s="15">
        <f t="shared" si="0"/>
        <v>42388</v>
      </c>
      <c r="K22" s="15">
        <f t="shared" si="1"/>
        <v>41825</v>
      </c>
      <c r="L22" s="15">
        <f t="shared" si="2"/>
        <v>42213</v>
      </c>
      <c r="N22">
        <f t="shared" si="3"/>
        <v>303</v>
      </c>
      <c r="O22">
        <f t="shared" si="4"/>
        <v>563</v>
      </c>
      <c r="P22" t="b">
        <f t="shared" si="5"/>
        <v>0</v>
      </c>
      <c r="Q22" t="b">
        <f t="shared" si="6"/>
        <v>0</v>
      </c>
      <c r="R22">
        <f t="shared" si="7"/>
        <v>175</v>
      </c>
    </row>
    <row r="23" spans="1:32" x14ac:dyDescent="0.25">
      <c r="A23" t="str">
        <f>Sheet4!A23</f>
        <v>7 O 209/15</v>
      </c>
      <c r="B23" s="6" t="str">
        <f>Sheet4!N23</f>
        <v>17.11.2016</v>
      </c>
      <c r="C23" t="str">
        <f>Sheet4!U23</f>
        <v>31.10.2015</v>
      </c>
      <c r="D23" t="str">
        <f>Sheet4!S23</f>
        <v>05.07.2014</v>
      </c>
      <c r="E23" t="str">
        <f>Sheet4!W23</f>
        <v>28.07.2015</v>
      </c>
      <c r="F23">
        <f>Sheet4!O23</f>
        <v>0</v>
      </c>
      <c r="G23" t="str">
        <f>Sheet4!E23</f>
        <v>No</v>
      </c>
      <c r="I23" s="15">
        <f t="shared" si="8"/>
        <v>42691</v>
      </c>
      <c r="J23" s="15">
        <f t="shared" si="0"/>
        <v>42308</v>
      </c>
      <c r="K23" s="15">
        <f t="shared" si="1"/>
        <v>41825</v>
      </c>
      <c r="L23" s="15">
        <f t="shared" si="2"/>
        <v>42213</v>
      </c>
      <c r="N23">
        <f t="shared" si="3"/>
        <v>383</v>
      </c>
      <c r="O23">
        <f t="shared" si="4"/>
        <v>483</v>
      </c>
      <c r="P23" t="b">
        <f t="shared" si="5"/>
        <v>0</v>
      </c>
      <c r="Q23" t="b">
        <f t="shared" si="6"/>
        <v>0</v>
      </c>
      <c r="R23">
        <f t="shared" si="7"/>
        <v>95</v>
      </c>
    </row>
    <row r="24" spans="1:32" x14ac:dyDescent="0.25">
      <c r="A24" t="str">
        <f>Sheet4!A24</f>
        <v>7 O 18/17</v>
      </c>
      <c r="B24" s="6" t="str">
        <f>Sheet4!N24</f>
        <v>02.03.2018</v>
      </c>
      <c r="C24" t="str">
        <f>Sheet4!U24</f>
        <v>29.01.2017</v>
      </c>
      <c r="D24" t="str">
        <f>Sheet4!S24</f>
        <v>13.10.2014</v>
      </c>
      <c r="E24" t="str">
        <f>Sheet4!W24</f>
        <v>28.07.2015</v>
      </c>
      <c r="F24">
        <f>Sheet4!O24</f>
        <v>0</v>
      </c>
      <c r="G24" t="str">
        <f>Sheet4!E24</f>
        <v>No</v>
      </c>
      <c r="I24" s="15">
        <f t="shared" si="8"/>
        <v>43161</v>
      </c>
      <c r="J24" s="15">
        <f t="shared" si="0"/>
        <v>42764</v>
      </c>
      <c r="K24" s="15">
        <f t="shared" si="1"/>
        <v>41925</v>
      </c>
      <c r="L24" s="15">
        <f t="shared" si="2"/>
        <v>42213</v>
      </c>
      <c r="N24">
        <f t="shared" si="3"/>
        <v>397</v>
      </c>
      <c r="O24">
        <f t="shared" si="4"/>
        <v>839</v>
      </c>
      <c r="P24" t="b">
        <f t="shared" si="5"/>
        <v>0</v>
      </c>
      <c r="Q24" t="b">
        <f t="shared" si="6"/>
        <v>0</v>
      </c>
      <c r="R24">
        <f t="shared" si="7"/>
        <v>551</v>
      </c>
    </row>
    <row r="25" spans="1:32" x14ac:dyDescent="0.25">
      <c r="A25" t="str">
        <f>Sheet4!A25</f>
        <v>2 O 136/18</v>
      </c>
      <c r="B25" s="6" t="str">
        <f>Sheet4!N25</f>
        <v>21.08.2020</v>
      </c>
      <c r="C25" t="str">
        <f>Sheet4!U25</f>
        <v>17.10.2018</v>
      </c>
      <c r="D25" t="str">
        <f>Sheet4!S25</f>
        <v>15.12.2014</v>
      </c>
      <c r="E25" t="str">
        <f>Sheet4!W25</f>
        <v>01.02.2016</v>
      </c>
      <c r="F25">
        <f>Sheet4!O25</f>
        <v>0</v>
      </c>
      <c r="G25" t="str">
        <f>Sheet4!E25</f>
        <v>No</v>
      </c>
      <c r="I25" s="15">
        <f t="shared" si="8"/>
        <v>44064</v>
      </c>
      <c r="J25" s="15">
        <f t="shared" si="0"/>
        <v>43390</v>
      </c>
      <c r="K25" s="15">
        <f t="shared" si="1"/>
        <v>41988</v>
      </c>
      <c r="L25" s="15">
        <f t="shared" si="2"/>
        <v>42401</v>
      </c>
      <c r="N25">
        <f t="shared" si="3"/>
        <v>674</v>
      </c>
      <c r="O25">
        <f t="shared" si="4"/>
        <v>1402</v>
      </c>
      <c r="P25" t="b">
        <f t="shared" si="5"/>
        <v>0</v>
      </c>
      <c r="Q25" t="b">
        <f t="shared" si="6"/>
        <v>0</v>
      </c>
      <c r="R25">
        <f t="shared" si="7"/>
        <v>989</v>
      </c>
    </row>
    <row r="26" spans="1:32" x14ac:dyDescent="0.25">
      <c r="A26" t="str">
        <f>Sheet4!A26</f>
        <v>2 O 131/19</v>
      </c>
      <c r="B26" s="6" t="str">
        <f>Sheet4!N26</f>
        <v>02.03.2021</v>
      </c>
      <c r="C26">
        <f>Sheet4!U26</f>
        <v>0</v>
      </c>
      <c r="D26" t="str">
        <f>Sheet4!S26</f>
        <v>29.03.2016</v>
      </c>
      <c r="E26" t="str">
        <f>Sheet4!W26</f>
        <v>?</v>
      </c>
      <c r="F26">
        <f>Sheet4!O26</f>
        <v>0</v>
      </c>
      <c r="G26" t="str">
        <f>Sheet4!E26</f>
        <v>Yes</v>
      </c>
      <c r="I26" s="15">
        <f t="shared" si="8"/>
        <v>44257</v>
      </c>
      <c r="J26" s="15" t="e">
        <f t="shared" si="0"/>
        <v>#VALUE!</v>
      </c>
      <c r="K26" s="15">
        <f t="shared" si="1"/>
        <v>42458</v>
      </c>
      <c r="L26" s="15" t="e">
        <f t="shared" si="2"/>
        <v>#VALUE!</v>
      </c>
      <c r="N26" t="e">
        <f t="shared" si="3"/>
        <v>#VALUE!</v>
      </c>
      <c r="O26" t="e">
        <f t="shared" si="4"/>
        <v>#VALUE!</v>
      </c>
      <c r="P26" t="e">
        <f t="shared" si="5"/>
        <v>#VALUE!</v>
      </c>
      <c r="Q26" t="e">
        <f t="shared" si="6"/>
        <v>#VALUE!</v>
      </c>
      <c r="R26" t="e">
        <f t="shared" si="7"/>
        <v>#VALUE!</v>
      </c>
      <c r="AC26" t="s">
        <v>31</v>
      </c>
      <c r="AD26" t="s">
        <v>25</v>
      </c>
      <c r="AE26" t="s">
        <v>344</v>
      </c>
    </row>
    <row r="27" spans="1:32" x14ac:dyDescent="0.25">
      <c r="A27" t="str">
        <f>Sheet4!A27</f>
        <v>2 O 34/19</v>
      </c>
      <c r="B27" s="6" t="str">
        <f>Sheet4!N27</f>
        <v>18.08.2020</v>
      </c>
      <c r="C27" t="str">
        <f>Sheet4!U27</f>
        <v>21.03.2019</v>
      </c>
      <c r="D27" s="11" t="s">
        <v>117</v>
      </c>
      <c r="E27" t="str">
        <f>Sheet4!W27</f>
        <v>09.11.2016</v>
      </c>
      <c r="F27">
        <f>Sheet4!O27</f>
        <v>0</v>
      </c>
      <c r="G27" t="str">
        <f>Sheet4!E27</f>
        <v>Yes</v>
      </c>
      <c r="I27" s="15">
        <f t="shared" si="8"/>
        <v>44061</v>
      </c>
      <c r="J27" s="15">
        <f t="shared" si="0"/>
        <v>43545</v>
      </c>
      <c r="K27" s="15">
        <f t="shared" si="1"/>
        <v>42460</v>
      </c>
      <c r="L27" s="15">
        <f t="shared" si="2"/>
        <v>42683</v>
      </c>
      <c r="N27">
        <f t="shared" si="3"/>
        <v>516</v>
      </c>
      <c r="O27">
        <f t="shared" si="4"/>
        <v>1085</v>
      </c>
      <c r="P27" t="b">
        <f t="shared" si="5"/>
        <v>0</v>
      </c>
      <c r="Q27" t="b">
        <f t="shared" si="6"/>
        <v>0</v>
      </c>
      <c r="R27">
        <f t="shared" si="7"/>
        <v>862</v>
      </c>
      <c r="AB27" t="s">
        <v>516</v>
      </c>
      <c r="AC27">
        <f>COUNTIFS($G$2:$G$46, "Yes", $O$2:$O$46, "&lt;365", $F$2:$F$46, "&lt;&gt;1", Sheet4!$AG$2:$AG$46, "Yes")</f>
        <v>0</v>
      </c>
      <c r="AD27">
        <f>COUNTIFS($G$2:$G$46, "No", $O$2:$O$46, "&lt;365", $F$2:$F$46, "&lt;&gt;1", Sheet4!$AG$2:$AG$46, "Yes")</f>
        <v>0</v>
      </c>
      <c r="AE27">
        <f>COUNTIFS($G$2:$G$46, "n./a.", $O$2:$O$46, "&lt;365", $F$2:$F$46, "&lt;&gt;1", Sheet4!$AG$2:$AG$46, "Yes")</f>
        <v>0</v>
      </c>
    </row>
    <row r="28" spans="1:32" x14ac:dyDescent="0.25">
      <c r="A28" t="str">
        <f>Sheet4!A28</f>
        <v>7 O 15350/19</v>
      </c>
      <c r="B28" s="17" t="str">
        <f>Sheet4!N28</f>
        <v>19.08.2021</v>
      </c>
      <c r="C28" t="str">
        <f>Sheet4!U28</f>
        <v>10.10.2019</v>
      </c>
      <c r="D28" s="18" t="str">
        <f>Sheet4!S28</f>
        <v>21.08.2019</v>
      </c>
      <c r="E28" s="18" t="str">
        <f>Sheet4!W28</f>
        <v>21.08.2019</v>
      </c>
      <c r="F28">
        <f>Sheet4!O28</f>
        <v>0</v>
      </c>
      <c r="G28" t="str">
        <f>Sheet4!E28</f>
        <v>Yes</v>
      </c>
      <c r="I28" s="15">
        <f t="shared" si="8"/>
        <v>44427</v>
      </c>
      <c r="J28" s="15">
        <f t="shared" si="0"/>
        <v>43748</v>
      </c>
      <c r="K28" s="15">
        <f t="shared" si="1"/>
        <v>43698</v>
      </c>
      <c r="L28" s="15">
        <f t="shared" si="2"/>
        <v>43698</v>
      </c>
      <c r="N28">
        <f t="shared" si="3"/>
        <v>679</v>
      </c>
      <c r="O28">
        <f t="shared" si="4"/>
        <v>50</v>
      </c>
      <c r="P28" t="b">
        <f t="shared" si="5"/>
        <v>0</v>
      </c>
      <c r="Q28" t="b">
        <f t="shared" si="6"/>
        <v>1</v>
      </c>
      <c r="R28">
        <f t="shared" si="7"/>
        <v>50</v>
      </c>
      <c r="S28" t="s">
        <v>535</v>
      </c>
      <c r="AB28" t="s">
        <v>517</v>
      </c>
      <c r="AC28">
        <f>COUNTIFS($G$2:$G$46, "Yes", $O$2:$O$46, "&gt;=365", $O$2:$O$46, "&lt;730", $F$2:$F$46, "&lt;&gt;1", Sheet4!$AG$2:$AG$46, "Yes")</f>
        <v>4</v>
      </c>
      <c r="AD28">
        <f>COUNTIFS($G$2:$G$46, "No", $O$2:$O$46, "&gt;=365", $O$2:$O$46, "&lt;730", $F$2:$F$46, "&lt;&gt;1", Sheet4!$AG$2:$AG$46, "Yes")</f>
        <v>3</v>
      </c>
      <c r="AE28">
        <f>COUNTIFS($G$2:$G$46, "n./a.", $O$2:$O$46, "&gt;=365", $O$2:$O$46, "&lt;730", $F$2:$F$46, "&lt;&gt;1", Sheet4!$AG$2:$AG$46, "Yes")</f>
        <v>0</v>
      </c>
    </row>
    <row r="29" spans="1:32" x14ac:dyDescent="0.25">
      <c r="A29" t="str">
        <f>Sheet4!A29</f>
        <v>2 O 75/21</v>
      </c>
      <c r="B29" s="6" t="str">
        <f>Sheet4!N29</f>
        <v>05.07.2022</v>
      </c>
      <c r="C29" t="str">
        <f>Sheet4!U29</f>
        <v>08.07.2021</v>
      </c>
      <c r="D29" t="str">
        <f>Sheet4!S29</f>
        <v>?</v>
      </c>
      <c r="E29" t="str">
        <f>Sheet4!W29</f>
        <v>?</v>
      </c>
      <c r="F29">
        <f>Sheet4!O29</f>
        <v>0</v>
      </c>
      <c r="G29" t="str">
        <f>Sheet4!E29</f>
        <v>Yes</v>
      </c>
      <c r="I29" s="15">
        <f t="shared" si="8"/>
        <v>44747</v>
      </c>
      <c r="J29" s="15">
        <f t="shared" si="0"/>
        <v>44385</v>
      </c>
      <c r="K29" s="15" t="e">
        <f t="shared" si="1"/>
        <v>#VALUE!</v>
      </c>
      <c r="L29" s="15" t="e">
        <f t="shared" si="2"/>
        <v>#VALUE!</v>
      </c>
      <c r="N29">
        <f t="shared" si="3"/>
        <v>362</v>
      </c>
      <c r="O29" t="e">
        <f t="shared" si="4"/>
        <v>#VALUE!</v>
      </c>
      <c r="P29" t="e">
        <f t="shared" si="5"/>
        <v>#VALUE!</v>
      </c>
      <c r="Q29" t="e">
        <f t="shared" si="6"/>
        <v>#VALUE!</v>
      </c>
      <c r="R29" t="e">
        <f t="shared" si="7"/>
        <v>#VALUE!</v>
      </c>
      <c r="AB29" t="s">
        <v>518</v>
      </c>
      <c r="AC29">
        <f>COUNTIFS($G$2:$G$46, "Yes", $O$2:$O$46, "&gt;=730", $O$2:$O$46, "&lt;1095", Sheet4!$AG$2:$AG$46, "Yes")</f>
        <v>1</v>
      </c>
      <c r="AD29">
        <f>COUNTIFS($G$2:$G$46, "No", $O$2:$O$46, "&gt;=730", $O$2:$O$46, "&lt;1095", $F$2:$F$46, "&lt;&gt;1", Sheet4!$AG$2:$AG$46, "Yes")</f>
        <v>1</v>
      </c>
      <c r="AE29">
        <f>COUNTIFS($G$2:$G$46, "n./a.", $O$2:$O$46, "&gt;=730", $O$2:$O$46, "&lt;1095", $F$2:$F$46, "&lt;&gt;1", Sheet4!$AG$2:$AG$46, "Yes")</f>
        <v>0</v>
      </c>
    </row>
    <row r="30" spans="1:32" x14ac:dyDescent="0.25">
      <c r="A30" t="str">
        <f>Sheet4!A30</f>
        <v>7 O 28/16</v>
      </c>
      <c r="B30" s="6" t="str">
        <f>Sheet4!N30</f>
        <v>10.11.2017</v>
      </c>
      <c r="C30" t="str">
        <f>Sheet4!U30</f>
        <v>03.02.2016</v>
      </c>
      <c r="D30" t="str">
        <f>Sheet4!S30</f>
        <v>01.11.2013</v>
      </c>
      <c r="E30" t="str">
        <f>Sheet4!W30</f>
        <v>01.11.2013</v>
      </c>
      <c r="F30">
        <f>Sheet4!O30</f>
        <v>0</v>
      </c>
      <c r="G30" t="str">
        <f>Sheet4!E30</f>
        <v>No</v>
      </c>
      <c r="I30" s="15">
        <f t="shared" si="8"/>
        <v>43049</v>
      </c>
      <c r="J30" s="15">
        <f t="shared" si="0"/>
        <v>42403</v>
      </c>
      <c r="K30" s="15">
        <f t="shared" si="1"/>
        <v>41579</v>
      </c>
      <c r="L30" s="15">
        <f t="shared" si="2"/>
        <v>41579</v>
      </c>
      <c r="N30">
        <f t="shared" si="3"/>
        <v>646</v>
      </c>
      <c r="O30">
        <f t="shared" si="4"/>
        <v>824</v>
      </c>
      <c r="P30" t="b">
        <f t="shared" si="5"/>
        <v>0</v>
      </c>
      <c r="Q30" t="b">
        <f t="shared" si="6"/>
        <v>0</v>
      </c>
      <c r="R30">
        <f t="shared" si="7"/>
        <v>824</v>
      </c>
      <c r="AB30" t="s">
        <v>519</v>
      </c>
      <c r="AC30">
        <f>COUNTIFS($G$2:$G$46, "Yes", $O$2:$O$46, "&gt;=1095", $O$2:$O$46, "&lt;1825", $F$2:$F$46, "&lt;&gt;1", Sheet4!$AG$2:$AG$46, "Yes")</f>
        <v>1</v>
      </c>
      <c r="AD30">
        <f>COUNTIFS($G$2:$G$46, "No", $O$2:$O$46, "&gt;=1095", $O$2:$O$46, "&lt;1825", $F$2:$F$46, "&lt;&gt;1", Sheet4!$AG$2:$AG$46, "Yes")</f>
        <v>4</v>
      </c>
      <c r="AE30">
        <f>COUNTIFS($G$2:$G$46, "n./a.", $O$2:$O$46, "&gt;=1095", $O$2:$O$46, "&lt;1825", $F$2:$F$46, "&lt;&gt;1", Sheet4!$AG$2:$AG$46, "Yes")</f>
        <v>0</v>
      </c>
      <c r="AF30" t="s">
        <v>523</v>
      </c>
    </row>
    <row r="31" spans="1:32" x14ac:dyDescent="0.25">
      <c r="A31" t="str">
        <f>Sheet4!A31</f>
        <v>2 O 106/14</v>
      </c>
      <c r="B31" s="6" t="str">
        <f>Sheet4!N31</f>
        <v>27.11.2015</v>
      </c>
      <c r="C31" t="str">
        <f>Sheet4!U31</f>
        <v>15.06.2014</v>
      </c>
      <c r="D31" t="str">
        <f>Sheet4!S31</f>
        <v>01.07.2014</v>
      </c>
      <c r="E31" t="str">
        <f>Sheet4!W31</f>
        <v>25.03.2015</v>
      </c>
      <c r="F31">
        <f>Sheet4!O31</f>
        <v>1</v>
      </c>
      <c r="G31" t="str">
        <f>Sheet4!E31</f>
        <v>Yes</v>
      </c>
      <c r="I31" s="15">
        <f t="shared" si="8"/>
        <v>42335</v>
      </c>
      <c r="J31" s="15">
        <f t="shared" si="0"/>
        <v>41805</v>
      </c>
      <c r="K31" s="15">
        <f t="shared" si="1"/>
        <v>41821</v>
      </c>
      <c r="L31" s="15">
        <f t="shared" si="2"/>
        <v>42088</v>
      </c>
      <c r="N31">
        <f t="shared" si="3"/>
        <v>530</v>
      </c>
      <c r="O31">
        <f t="shared" si="4"/>
        <v>-16</v>
      </c>
      <c r="P31" t="b">
        <f t="shared" si="5"/>
        <v>0</v>
      </c>
      <c r="Q31" t="b">
        <f t="shared" si="6"/>
        <v>1</v>
      </c>
      <c r="R31">
        <f t="shared" si="7"/>
        <v>-283</v>
      </c>
      <c r="AB31" t="s">
        <v>520</v>
      </c>
      <c r="AC31">
        <f>COUNTIFS($G$2:$G$46, "Yes", $O$2:$O$46, "&gt;=1825", $F$2:$F$46, "&lt;&gt;1", Sheet4!$AG$2:$AG$46, "Yes")</f>
        <v>4</v>
      </c>
      <c r="AD31">
        <f>COUNTIFS($G$2:$G$46, "No", $O$2:$O$46, "&gt;=1825", $F$2:$F$46, "&lt;&gt;1", Sheet4!$AG$2:$AG$46, "Yes")</f>
        <v>1</v>
      </c>
      <c r="AE31">
        <f>COUNTIFS($G$2:$G$46, "n./a.", $O$2:$O$46, "&gt;=1825", $F$2:$F$46, "&lt;&gt;1", Sheet4!$AG$2:$AG$46, "Yes")</f>
        <v>0</v>
      </c>
      <c r="AF31" t="s">
        <v>524</v>
      </c>
    </row>
    <row r="32" spans="1:32" x14ac:dyDescent="0.25">
      <c r="A32" t="str">
        <f>Sheet4!A32</f>
        <v>21 O 11522/21</v>
      </c>
      <c r="B32" s="6" t="str">
        <f>Sheet4!N32</f>
        <v>05.08.2022</v>
      </c>
      <c r="C32">
        <f>Sheet4!U32</f>
        <v>0</v>
      </c>
      <c r="D32" t="str">
        <f>Sheet4!S32</f>
        <v>?</v>
      </c>
      <c r="E32" t="str">
        <f>Sheet4!W32</f>
        <v>?</v>
      </c>
      <c r="F32">
        <f>Sheet4!O32</f>
        <v>0</v>
      </c>
      <c r="G32" t="str">
        <f>Sheet4!E32</f>
        <v>Yes</v>
      </c>
      <c r="I32" s="15">
        <f t="shared" si="8"/>
        <v>44778</v>
      </c>
      <c r="J32" s="15" t="e">
        <f t="shared" si="0"/>
        <v>#VALUE!</v>
      </c>
      <c r="K32" s="15" t="e">
        <f t="shared" si="1"/>
        <v>#VALUE!</v>
      </c>
      <c r="L32" s="15" t="e">
        <f t="shared" si="2"/>
        <v>#VALUE!</v>
      </c>
      <c r="N32" t="e">
        <f t="shared" si="3"/>
        <v>#VALUE!</v>
      </c>
      <c r="O32" t="e">
        <f t="shared" si="4"/>
        <v>#VALUE!</v>
      </c>
      <c r="P32" t="e">
        <f t="shared" si="5"/>
        <v>#VALUE!</v>
      </c>
      <c r="Q32" t="e">
        <f t="shared" si="6"/>
        <v>#VALUE!</v>
      </c>
      <c r="R32" t="e">
        <f t="shared" si="7"/>
        <v>#VALUE!</v>
      </c>
      <c r="AC32">
        <f>SUM(AC27:AC31)</f>
        <v>10</v>
      </c>
      <c r="AD32">
        <f t="shared" ref="AD32:AE32" si="14">SUM(AD27:AD31)</f>
        <v>9</v>
      </c>
      <c r="AE32">
        <f t="shared" si="14"/>
        <v>0</v>
      </c>
      <c r="AF32">
        <f>SUM(AC32:AE32)</f>
        <v>19</v>
      </c>
    </row>
    <row r="33" spans="1:18" x14ac:dyDescent="0.25">
      <c r="A33" t="str">
        <f>Sheet4!A33</f>
        <v>21 O 1910/22</v>
      </c>
      <c r="B33" s="6" t="str">
        <f>Sheet4!N33</f>
        <v>19.04.2023</v>
      </c>
      <c r="C33">
        <f>Sheet4!U33</f>
        <v>0</v>
      </c>
      <c r="D33" t="str">
        <f>Sheet4!S33</f>
        <v>?</v>
      </c>
      <c r="E33" t="str">
        <f>Sheet4!W33</f>
        <v>?</v>
      </c>
      <c r="F33">
        <f>Sheet4!O33</f>
        <v>0</v>
      </c>
      <c r="G33" t="str">
        <f>Sheet4!E33</f>
        <v>Yes</v>
      </c>
      <c r="I33" s="15">
        <f t="shared" si="8"/>
        <v>45035</v>
      </c>
      <c r="J33" s="15" t="e">
        <f t="shared" si="0"/>
        <v>#VALUE!</v>
      </c>
      <c r="K33" s="15" t="e">
        <f t="shared" si="1"/>
        <v>#VALUE!</v>
      </c>
      <c r="L33" s="15" t="e">
        <f t="shared" si="2"/>
        <v>#VALUE!</v>
      </c>
      <c r="N33" t="e">
        <f t="shared" si="3"/>
        <v>#VALUE!</v>
      </c>
      <c r="O33" t="e">
        <f t="shared" si="4"/>
        <v>#VALUE!</v>
      </c>
      <c r="P33" t="e">
        <f t="shared" si="5"/>
        <v>#VALUE!</v>
      </c>
      <c r="Q33" t="e">
        <f t="shared" si="6"/>
        <v>#VALUE!</v>
      </c>
      <c r="R33" t="e">
        <f t="shared" si="7"/>
        <v>#VALUE!</v>
      </c>
    </row>
    <row r="34" spans="1:18" x14ac:dyDescent="0.25">
      <c r="A34" t="str">
        <f>Sheet4!A34</f>
        <v>21 O 4140/21</v>
      </c>
      <c r="B34" s="6" t="str">
        <f>Sheet4!N34</f>
        <v>17.02.2023</v>
      </c>
      <c r="C34">
        <f>Sheet4!U34</f>
        <v>0</v>
      </c>
      <c r="D34" t="str">
        <f>Sheet4!S34</f>
        <v>01.03.2021</v>
      </c>
      <c r="E34" t="str">
        <f>Sheet4!W34</f>
        <v>01.03.2021</v>
      </c>
      <c r="F34">
        <f>Sheet4!O34</f>
        <v>0</v>
      </c>
      <c r="G34" t="str">
        <f>Sheet4!E34</f>
        <v>Yes</v>
      </c>
      <c r="I34" s="15">
        <f t="shared" si="8"/>
        <v>44974</v>
      </c>
      <c r="J34" s="15" t="e">
        <f t="shared" si="0"/>
        <v>#VALUE!</v>
      </c>
      <c r="K34" s="15">
        <f t="shared" si="1"/>
        <v>44256</v>
      </c>
      <c r="L34" s="15">
        <f t="shared" si="2"/>
        <v>44256</v>
      </c>
      <c r="N34" t="e">
        <f t="shared" si="3"/>
        <v>#VALUE!</v>
      </c>
      <c r="O34" t="e">
        <f t="shared" si="4"/>
        <v>#VALUE!</v>
      </c>
      <c r="P34" t="e">
        <f t="shared" si="5"/>
        <v>#VALUE!</v>
      </c>
      <c r="Q34" t="e">
        <f t="shared" si="6"/>
        <v>#VALUE!</v>
      </c>
      <c r="R34" t="e">
        <f t="shared" si="7"/>
        <v>#VALUE!</v>
      </c>
    </row>
    <row r="35" spans="1:18" x14ac:dyDescent="0.25">
      <c r="A35" t="str">
        <f>Sheet4!A35</f>
        <v>7 O 8818/19</v>
      </c>
      <c r="B35" s="6" t="str">
        <f>Sheet4!N35</f>
        <v>10.09.2020</v>
      </c>
      <c r="C35" t="str">
        <f>Sheet4!U35</f>
        <v>28.06.2019</v>
      </c>
      <c r="D35">
        <f>Sheet4!S35</f>
        <v>2016</v>
      </c>
      <c r="E35" t="str">
        <f>Sheet4!W35</f>
        <v>08.09.2016</v>
      </c>
      <c r="F35">
        <f>Sheet4!O35</f>
        <v>0</v>
      </c>
      <c r="G35" t="str">
        <f>Sheet4!E35</f>
        <v>Yes</v>
      </c>
      <c r="I35" s="15">
        <f t="shared" si="8"/>
        <v>44084</v>
      </c>
      <c r="J35" s="15">
        <f t="shared" si="0"/>
        <v>43644</v>
      </c>
      <c r="K35" s="15">
        <f t="shared" si="1"/>
        <v>42541</v>
      </c>
      <c r="L35" s="15">
        <f t="shared" si="2"/>
        <v>42621</v>
      </c>
      <c r="N35">
        <f t="shared" si="3"/>
        <v>440</v>
      </c>
      <c r="O35">
        <f t="shared" si="4"/>
        <v>1103</v>
      </c>
      <c r="P35" t="b">
        <f t="shared" si="5"/>
        <v>0</v>
      </c>
      <c r="Q35" t="b">
        <f t="shared" si="6"/>
        <v>0</v>
      </c>
      <c r="R35">
        <f t="shared" si="7"/>
        <v>1023</v>
      </c>
    </row>
    <row r="36" spans="1:18" x14ac:dyDescent="0.25">
      <c r="A36" t="str">
        <f>Sheet4!A36</f>
        <v>4a O 27/16</v>
      </c>
      <c r="B36" s="6" t="str">
        <f>Sheet4!N36</f>
        <v>13.07.2017</v>
      </c>
      <c r="C36" t="str">
        <f>Sheet4!U36</f>
        <v>18.03.2016</v>
      </c>
      <c r="D36" t="str">
        <f>Sheet4!S36</f>
        <v>04.12.2012</v>
      </c>
      <c r="E36" t="str">
        <f>Sheet4!W36</f>
        <v>04.12.2012</v>
      </c>
      <c r="F36">
        <f>Sheet4!O36</f>
        <v>0</v>
      </c>
      <c r="G36" t="str">
        <f>Sheet4!E36</f>
        <v>No</v>
      </c>
      <c r="I36" s="15">
        <f t="shared" si="8"/>
        <v>42929</v>
      </c>
      <c r="J36" s="15">
        <f t="shared" si="0"/>
        <v>42447</v>
      </c>
      <c r="K36" s="15">
        <f t="shared" si="1"/>
        <v>41247</v>
      </c>
      <c r="L36" s="15">
        <f t="shared" si="2"/>
        <v>41247</v>
      </c>
      <c r="N36">
        <f t="shared" si="3"/>
        <v>482</v>
      </c>
      <c r="O36">
        <f t="shared" si="4"/>
        <v>1200</v>
      </c>
      <c r="P36" t="b">
        <f t="shared" si="5"/>
        <v>0</v>
      </c>
      <c r="Q36" t="b">
        <f t="shared" si="6"/>
        <v>0</v>
      </c>
      <c r="R36">
        <f t="shared" si="7"/>
        <v>1200</v>
      </c>
    </row>
    <row r="37" spans="1:18" x14ac:dyDescent="0.25">
      <c r="A37" t="str">
        <f>Sheet4!A37</f>
        <v>4a O 154/15</v>
      </c>
      <c r="B37" s="6" t="str">
        <f>Sheet4!N37</f>
        <v>13.07.2017</v>
      </c>
      <c r="C37" t="str">
        <f>Sheet4!U37</f>
        <v>06.11.2015</v>
      </c>
      <c r="D37" t="str">
        <f>Sheet4!S37</f>
        <v>04.12.2012</v>
      </c>
      <c r="E37" t="str">
        <f>Sheet4!W37</f>
        <v>04.12.2012</v>
      </c>
      <c r="F37">
        <f>Sheet4!O37</f>
        <v>1</v>
      </c>
      <c r="G37" t="str">
        <f>Sheet4!E37</f>
        <v>No</v>
      </c>
      <c r="I37" s="15">
        <f t="shared" si="8"/>
        <v>42929</v>
      </c>
      <c r="J37" s="15">
        <f t="shared" si="0"/>
        <v>42314</v>
      </c>
      <c r="K37" s="15">
        <f t="shared" si="1"/>
        <v>41247</v>
      </c>
      <c r="L37" s="15">
        <f t="shared" si="2"/>
        <v>41247</v>
      </c>
      <c r="N37">
        <f t="shared" si="3"/>
        <v>615</v>
      </c>
      <c r="O37">
        <f t="shared" si="4"/>
        <v>1067</v>
      </c>
      <c r="P37" t="b">
        <f t="shared" si="5"/>
        <v>0</v>
      </c>
      <c r="Q37" t="b">
        <f t="shared" si="6"/>
        <v>0</v>
      </c>
      <c r="R37">
        <f t="shared" si="7"/>
        <v>1067</v>
      </c>
    </row>
    <row r="38" spans="1:18" x14ac:dyDescent="0.25">
      <c r="A38" s="12" t="str">
        <f>Sheet4!A38</f>
        <v>14d O 13/17</v>
      </c>
      <c r="B38" s="6" t="str">
        <f>Sheet4!N38</f>
        <v>09.11.2017</v>
      </c>
      <c r="C38" t="str">
        <f>Sheet4!U38</f>
        <v>07.09.2015</v>
      </c>
      <c r="D38" t="str">
        <f>Sheet4!S38</f>
        <v>?</v>
      </c>
      <c r="E38" t="str">
        <f>Sheet4!W38</f>
        <v>?</v>
      </c>
      <c r="F38">
        <f>Sheet4!O38</f>
        <v>0</v>
      </c>
      <c r="G38" t="str">
        <f>Sheet4!E38</f>
        <v>No</v>
      </c>
      <c r="I38" s="15">
        <f t="shared" si="8"/>
        <v>43048</v>
      </c>
      <c r="J38" s="15">
        <f t="shared" si="0"/>
        <v>42254</v>
      </c>
      <c r="K38" s="15" t="e">
        <f t="shared" si="1"/>
        <v>#VALUE!</v>
      </c>
      <c r="L38" s="15" t="e">
        <f t="shared" si="2"/>
        <v>#VALUE!</v>
      </c>
      <c r="N38">
        <f t="shared" si="3"/>
        <v>794</v>
      </c>
      <c r="O38" t="e">
        <f t="shared" si="4"/>
        <v>#VALUE!</v>
      </c>
      <c r="P38" t="e">
        <f t="shared" si="5"/>
        <v>#VALUE!</v>
      </c>
      <c r="Q38" t="e">
        <f t="shared" si="6"/>
        <v>#VALUE!</v>
      </c>
      <c r="R38" t="e">
        <f t="shared" si="7"/>
        <v>#VALUE!</v>
      </c>
    </row>
    <row r="39" spans="1:18" x14ac:dyDescent="0.25">
      <c r="A39" s="12" t="str">
        <f>Sheet4!A39</f>
        <v>7 O 38/14</v>
      </c>
      <c r="B39" s="6" t="str">
        <f>Sheet4!N39</f>
        <v>26.02.2016</v>
      </c>
      <c r="C39" t="str">
        <f>Sheet4!U39</f>
        <v>21.03.2014</v>
      </c>
      <c r="D39" t="str">
        <f>Sheet4!S39</f>
        <v>?</v>
      </c>
      <c r="E39" t="str">
        <f>Sheet4!W39</f>
        <v>?</v>
      </c>
      <c r="F39">
        <f>Sheet4!O39</f>
        <v>1</v>
      </c>
      <c r="G39" t="str">
        <f>Sheet4!E39</f>
        <v>No</v>
      </c>
      <c r="I39" s="15">
        <f t="shared" si="8"/>
        <v>42426</v>
      </c>
      <c r="J39" s="15">
        <f t="shared" si="0"/>
        <v>41719</v>
      </c>
      <c r="K39" s="15" t="e">
        <f t="shared" si="1"/>
        <v>#VALUE!</v>
      </c>
      <c r="L39" s="15" t="e">
        <f t="shared" si="2"/>
        <v>#VALUE!</v>
      </c>
      <c r="N39">
        <f t="shared" si="3"/>
        <v>707</v>
      </c>
      <c r="O39" t="e">
        <f t="shared" si="4"/>
        <v>#VALUE!</v>
      </c>
      <c r="P39" t="e">
        <f t="shared" si="5"/>
        <v>#VALUE!</v>
      </c>
      <c r="Q39" t="e">
        <f t="shared" si="6"/>
        <v>#VALUE!</v>
      </c>
      <c r="R39" t="e">
        <f t="shared" si="7"/>
        <v>#VALUE!</v>
      </c>
    </row>
    <row r="40" spans="1:18" x14ac:dyDescent="0.25">
      <c r="A40" t="str">
        <f>Sheet4!A40</f>
        <v>7 O 24/14</v>
      </c>
      <c r="B40" s="11" t="s">
        <v>509</v>
      </c>
      <c r="C40" t="str">
        <f>Sheet4!U40</f>
        <v>26.02.2014</v>
      </c>
      <c r="D40" t="str">
        <f>Sheet4!S40</f>
        <v>?</v>
      </c>
      <c r="E40" t="str">
        <f>Sheet4!W40</f>
        <v>13.03.2015</v>
      </c>
      <c r="F40">
        <f>Sheet4!O40</f>
        <v>1</v>
      </c>
      <c r="G40" t="str">
        <f>Sheet4!E40</f>
        <v>Yes</v>
      </c>
      <c r="I40" s="15">
        <f t="shared" si="8"/>
        <v>42433</v>
      </c>
      <c r="J40" s="15">
        <f t="shared" si="0"/>
        <v>41696</v>
      </c>
      <c r="K40" s="15" t="e">
        <f t="shared" si="1"/>
        <v>#VALUE!</v>
      </c>
      <c r="L40" s="15">
        <f t="shared" si="2"/>
        <v>42076</v>
      </c>
      <c r="N40">
        <f t="shared" si="3"/>
        <v>737</v>
      </c>
      <c r="O40" t="e">
        <f t="shared" si="4"/>
        <v>#VALUE!</v>
      </c>
      <c r="P40" t="e">
        <f t="shared" si="5"/>
        <v>#VALUE!</v>
      </c>
      <c r="Q40" t="e">
        <f t="shared" si="6"/>
        <v>#VALUE!</v>
      </c>
      <c r="R40">
        <f t="shared" si="7"/>
        <v>-380</v>
      </c>
    </row>
    <row r="41" spans="1:18" x14ac:dyDescent="0.25">
      <c r="A41" t="str">
        <f>Sheet4!A41</f>
        <v>7 O 26/14</v>
      </c>
      <c r="B41" s="11" t="s">
        <v>510</v>
      </c>
      <c r="C41" t="str">
        <f>Sheet4!U41</f>
        <v>01.03.2014</v>
      </c>
      <c r="D41" t="str">
        <f>Sheet4!S41</f>
        <v>?</v>
      </c>
      <c r="E41" t="str">
        <f>Sheet4!W41</f>
        <v>13.05.2015</v>
      </c>
      <c r="F41">
        <f>Sheet4!O41</f>
        <v>1</v>
      </c>
      <c r="G41" t="str">
        <f>Sheet4!E41</f>
        <v>Yes</v>
      </c>
      <c r="I41" s="15">
        <f t="shared" si="8"/>
        <v>42440</v>
      </c>
      <c r="J41" s="15">
        <f t="shared" si="0"/>
        <v>41699</v>
      </c>
      <c r="K41" s="15" t="e">
        <f t="shared" si="1"/>
        <v>#VALUE!</v>
      </c>
      <c r="L41" s="15">
        <f t="shared" si="2"/>
        <v>42137</v>
      </c>
      <c r="N41">
        <f t="shared" si="3"/>
        <v>741</v>
      </c>
      <c r="O41" t="e">
        <f t="shared" si="4"/>
        <v>#VALUE!</v>
      </c>
      <c r="P41" t="e">
        <f t="shared" si="5"/>
        <v>#VALUE!</v>
      </c>
      <c r="Q41" t="e">
        <f t="shared" si="6"/>
        <v>#VALUE!</v>
      </c>
      <c r="R41">
        <f t="shared" si="7"/>
        <v>-438</v>
      </c>
    </row>
    <row r="42" spans="1:18" x14ac:dyDescent="0.25">
      <c r="A42" t="str">
        <f>Sheet4!A42</f>
        <v>7 O 43/16</v>
      </c>
      <c r="B42" t="str">
        <f>Sheet4!N42</f>
        <v>25.11.2016</v>
      </c>
      <c r="C42" t="str">
        <f>Sheet4!U42</f>
        <v>28.02.2016</v>
      </c>
      <c r="D42" t="str">
        <f>Sheet4!S42</f>
        <v>13.10.2014</v>
      </c>
      <c r="E42" t="str">
        <f>Sheet4!W42</f>
        <v>28.07.2015</v>
      </c>
      <c r="F42">
        <f>Sheet4!O42</f>
        <v>0</v>
      </c>
      <c r="G42" t="str">
        <f>Sheet4!E42</f>
        <v>Yes</v>
      </c>
      <c r="I42" s="15">
        <f t="shared" si="8"/>
        <v>42699</v>
      </c>
      <c r="J42" s="15">
        <f t="shared" si="0"/>
        <v>42428</v>
      </c>
      <c r="K42" s="15">
        <f t="shared" si="1"/>
        <v>41925</v>
      </c>
      <c r="L42" s="15">
        <f t="shared" si="2"/>
        <v>42213</v>
      </c>
      <c r="N42">
        <f t="shared" si="3"/>
        <v>271</v>
      </c>
      <c r="O42">
        <f t="shared" si="4"/>
        <v>503</v>
      </c>
      <c r="P42" t="b">
        <f t="shared" si="5"/>
        <v>0</v>
      </c>
      <c r="Q42" t="b">
        <f t="shared" si="6"/>
        <v>0</v>
      </c>
      <c r="R42">
        <f t="shared" si="7"/>
        <v>215</v>
      </c>
    </row>
    <row r="43" spans="1:18" x14ac:dyDescent="0.25">
      <c r="A43" t="str">
        <f>Sheet4!A43</f>
        <v>7 O 44/16</v>
      </c>
      <c r="B43" t="str">
        <f>Sheet4!N43</f>
        <v>25.11.2016</v>
      </c>
      <c r="C43" t="str">
        <f>Sheet4!U43</f>
        <v>01.03.2016</v>
      </c>
      <c r="D43" t="str">
        <f>Sheet4!S43</f>
        <v>13.10.2014</v>
      </c>
      <c r="E43" t="str">
        <f>Sheet4!W43</f>
        <v>28.07.2015</v>
      </c>
      <c r="F43">
        <f>Sheet4!O43</f>
        <v>0</v>
      </c>
      <c r="G43" t="str">
        <f>Sheet4!E43</f>
        <v>Yes</v>
      </c>
      <c r="I43" s="15">
        <f t="shared" si="8"/>
        <v>42699</v>
      </c>
      <c r="J43" s="15">
        <f t="shared" si="0"/>
        <v>42430</v>
      </c>
      <c r="K43" s="15">
        <f t="shared" si="1"/>
        <v>41925</v>
      </c>
      <c r="L43" s="15">
        <f t="shared" si="2"/>
        <v>42213</v>
      </c>
      <c r="N43">
        <f t="shared" si="3"/>
        <v>269</v>
      </c>
      <c r="O43">
        <f t="shared" si="4"/>
        <v>505</v>
      </c>
      <c r="P43" t="b">
        <f t="shared" si="5"/>
        <v>0</v>
      </c>
      <c r="Q43" t="b">
        <f t="shared" si="6"/>
        <v>0</v>
      </c>
      <c r="R43">
        <f t="shared" si="7"/>
        <v>217</v>
      </c>
    </row>
    <row r="44" spans="1:18" x14ac:dyDescent="0.25">
      <c r="A44" t="str">
        <f>Sheet4!A44</f>
        <v>7 O 212/15</v>
      </c>
      <c r="B44" t="str">
        <f>Sheet4!N44</f>
        <v>27.01.2017</v>
      </c>
      <c r="C44" t="str">
        <f>Sheet4!U44</f>
        <v>05.11.2015</v>
      </c>
      <c r="D44" t="str">
        <f>Sheet4!S44</f>
        <v>13.10.2014</v>
      </c>
      <c r="E44" t="str">
        <f>Sheet4!W44</f>
        <v>28.07.2015</v>
      </c>
      <c r="F44">
        <f>Sheet4!O44</f>
        <v>0</v>
      </c>
      <c r="G44" t="str">
        <f>Sheet4!E44</f>
        <v>Yes</v>
      </c>
      <c r="I44" s="15">
        <f t="shared" si="8"/>
        <v>42762</v>
      </c>
      <c r="J44" s="15">
        <f t="shared" si="0"/>
        <v>42313</v>
      </c>
      <c r="K44" s="15">
        <f t="shared" si="1"/>
        <v>41925</v>
      </c>
      <c r="L44" s="15">
        <f t="shared" si="2"/>
        <v>42213</v>
      </c>
      <c r="N44">
        <f t="shared" si="3"/>
        <v>449</v>
      </c>
      <c r="O44">
        <f t="shared" si="4"/>
        <v>388</v>
      </c>
      <c r="P44" t="b">
        <f t="shared" si="5"/>
        <v>0</v>
      </c>
      <c r="Q44" t="b">
        <f t="shared" si="6"/>
        <v>0</v>
      </c>
      <c r="R44">
        <f t="shared" si="7"/>
        <v>100</v>
      </c>
    </row>
    <row r="45" spans="1:18" x14ac:dyDescent="0.25">
      <c r="A45" t="str">
        <f>Sheet4!A45</f>
        <v>7 O 31/16</v>
      </c>
      <c r="B45" t="str">
        <f>Sheet4!N45</f>
        <v>24.02.2017</v>
      </c>
      <c r="C45" t="str">
        <f>Sheet4!U45</f>
        <v>08.02.2016</v>
      </c>
      <c r="D45" s="11" t="s">
        <v>337</v>
      </c>
      <c r="E45" t="str">
        <f>Sheet4!W45</f>
        <v>17.09.2015</v>
      </c>
      <c r="F45">
        <f>Sheet4!O45</f>
        <v>0</v>
      </c>
      <c r="G45" t="str">
        <f>Sheet4!E45</f>
        <v>No</v>
      </c>
      <c r="I45" s="15">
        <f t="shared" si="8"/>
        <v>42790</v>
      </c>
      <c r="J45" s="15">
        <f t="shared" si="0"/>
        <v>42408</v>
      </c>
      <c r="K45" s="15">
        <f t="shared" si="1"/>
        <v>40160</v>
      </c>
      <c r="L45" s="15">
        <f t="shared" si="2"/>
        <v>42264</v>
      </c>
      <c r="N45">
        <f t="shared" si="3"/>
        <v>382</v>
      </c>
      <c r="O45">
        <f t="shared" si="4"/>
        <v>2248</v>
      </c>
      <c r="P45">
        <v>1</v>
      </c>
      <c r="Q45" t="b">
        <f t="shared" si="6"/>
        <v>0</v>
      </c>
      <c r="R45">
        <f t="shared" si="7"/>
        <v>144</v>
      </c>
    </row>
    <row r="46" spans="1:18" x14ac:dyDescent="0.25">
      <c r="A46" t="str">
        <f>Sheet4!A46</f>
        <v>2 O 98/16</v>
      </c>
      <c r="B46" t="str">
        <f>Sheet4!N46</f>
        <v>23.05.2017</v>
      </c>
      <c r="C46">
        <f>Sheet4!U46</f>
        <v>0</v>
      </c>
      <c r="D46" t="str">
        <f>Sheet4!S46</f>
        <v>01.12.2014</v>
      </c>
      <c r="E46" t="str">
        <f>Sheet4!W46</f>
        <v>01.02.2016</v>
      </c>
      <c r="F46">
        <f>Sheet4!O46</f>
        <v>0</v>
      </c>
      <c r="G46" t="str">
        <f>Sheet4!E46</f>
        <v>No</v>
      </c>
      <c r="I46" s="15">
        <f t="shared" si="8"/>
        <v>42878</v>
      </c>
      <c r="J46" s="15" t="e">
        <f t="shared" si="0"/>
        <v>#VALUE!</v>
      </c>
      <c r="K46" s="15">
        <f t="shared" si="1"/>
        <v>41974</v>
      </c>
      <c r="L46" s="15">
        <f t="shared" si="2"/>
        <v>42401</v>
      </c>
      <c r="N46" t="e">
        <f t="shared" si="3"/>
        <v>#VALUE!</v>
      </c>
      <c r="O46" t="e">
        <f t="shared" si="4"/>
        <v>#VALUE!</v>
      </c>
      <c r="P46" t="e">
        <f t="shared" si="5"/>
        <v>#VALUE!</v>
      </c>
      <c r="Q46" t="e">
        <f t="shared" si="6"/>
        <v>#VALUE!</v>
      </c>
      <c r="R46" t="e">
        <f t="shared" si="7"/>
        <v>#VALUE!</v>
      </c>
    </row>
    <row r="53" spans="28:32" x14ac:dyDescent="0.25">
      <c r="AC53" t="s">
        <v>31</v>
      </c>
      <c r="AD53" t="s">
        <v>25</v>
      </c>
      <c r="AE53" t="s">
        <v>344</v>
      </c>
    </row>
    <row r="54" spans="28:32" x14ac:dyDescent="0.25">
      <c r="AB54" t="s">
        <v>516</v>
      </c>
      <c r="AC54">
        <f>COUNTIFS($G$2:$G$46, "Yes", $O$2:$O$46, "&lt;365", $F$2:$F$46, "&lt;&gt;1", Sheet4!$AF$2:$AF$46, "Yes")</f>
        <v>0</v>
      </c>
      <c r="AD54">
        <f>COUNTIFS($G$2:$G$46, "No", $O$2:$O$46, "&lt;365", $F$2:$F$46, "&lt;&gt;1", Sheet4!$AF$2:$AF$46, "Yes")</f>
        <v>0</v>
      </c>
      <c r="AE54">
        <f>COUNTIFS($G$2:$G$46, "n./a.", $O$2:$O$46, "&lt;365", $F$2:$F$46, "&lt;&gt;1", Sheet4!$AF$2:$AF$46, "Yes")</f>
        <v>0</v>
      </c>
    </row>
    <row r="55" spans="28:32" x14ac:dyDescent="0.25">
      <c r="AB55" t="s">
        <v>517</v>
      </c>
      <c r="AC55">
        <f>COUNTIFS($G$2:$G$46, "Yes", $O$2:$O$46, "&gt;=365", $O$2:$O$46, "&lt;730", $F$2:$F$46, "&lt;&gt;1", Sheet4!$AF$2:$AF$46, "Yes")</f>
        <v>1</v>
      </c>
      <c r="AD55">
        <f>COUNTIFS($G$2:$G$46, "No", $O$2:$O$46, "&gt;=365", $O$2:$O$46, "&lt;730", $F$2:$F$46, "&lt;&gt;1", Sheet4!$AF$2:$AF$46, "Yes")</f>
        <v>0</v>
      </c>
      <c r="AE55">
        <f>COUNTIFS($G$2:$G$46, "n./a.", $O$2:$O$46, "&gt;=365", $O$2:$O$46, "&lt;730", $F$2:$F$46, "&lt;&gt;1", Sheet4!$AF$2:$AF$46, "Yes")</f>
        <v>0</v>
      </c>
    </row>
    <row r="56" spans="28:32" x14ac:dyDescent="0.25">
      <c r="AB56" t="s">
        <v>518</v>
      </c>
      <c r="AC56">
        <f>COUNTIFS($G$2:$G$46, "Yes", $O$2:$O$46, "&gt;=730", $O$2:$O$46, "&lt;1095", Sheet4!$AF$2:$AF$46, "Yes")</f>
        <v>1</v>
      </c>
      <c r="AD56">
        <f>COUNTIFS($G$2:$G$46, "No", $O$2:$O$46, "&gt;=730", $O$2:$O$46, "&lt;1095", $F$2:$F$46, "&lt;&gt;1", Sheet4!$AF$2:$AF$46, "Yes")</f>
        <v>0</v>
      </c>
      <c r="AE56">
        <f>COUNTIFS($G$2:$G$46, "n./a.", $O$2:$O$46, "&gt;=730", $O$2:$O$46, "&lt;1095", $F$2:$F$46, "&lt;&gt;1", Sheet4!$AF$2:$AF$46, "Yes")</f>
        <v>0</v>
      </c>
    </row>
    <row r="57" spans="28:32" x14ac:dyDescent="0.25">
      <c r="AB57" t="s">
        <v>519</v>
      </c>
      <c r="AC57">
        <f>COUNTIFS($G$2:$G$46, "Yes", $O$2:$O$46, "&gt;=1095", $O$2:$O$46, "&lt;1825", $F$2:$F$46, "&lt;&gt;1", Sheet4!$AF$2:$AF$46, "Yes")</f>
        <v>1</v>
      </c>
      <c r="AD57">
        <f>COUNTIFS($G$2:$G$46, "No", $O$2:$O$46, "&gt;=1095", $O$2:$O$46, "&lt;1825", $F$2:$F$46, "&lt;&gt;1", Sheet4!$AF$2:$AF$46, "Yes")</f>
        <v>0</v>
      </c>
      <c r="AE57">
        <f>COUNTIFS($G$2:$G$46, "n./a.", $O$2:$O$46, "&gt;=1095", $O$2:$O$46, "&lt;1825", $F$2:$F$46, "&lt;&gt;1", Sheet4!$AF$2:$AF$46, "Yes")</f>
        <v>1</v>
      </c>
      <c r="AF57" t="s">
        <v>523</v>
      </c>
    </row>
    <row r="58" spans="28:32" x14ac:dyDescent="0.25">
      <c r="AB58" t="s">
        <v>520</v>
      </c>
      <c r="AC58">
        <f>COUNTIFS($G$2:$G$46, "Yes", $O$2:$O$46, "&gt;=1825", $F$2:$F$46, "&lt;&gt;1", Sheet4!$AF$2:$AF$46, "Yes")</f>
        <v>4</v>
      </c>
      <c r="AD58">
        <f>COUNTIFS($G$2:$G$46, "No", $O$2:$O$46, "&gt;=1825", $F$2:$F$46, "&lt;&gt;1", Sheet4!$AF$2:$AF$46, "Yes")</f>
        <v>0</v>
      </c>
      <c r="AE58">
        <f>COUNTIFS($G$2:$G$46, "n./a.", $O$2:$O$46, "&gt;=1825", $F$2:$F$46, "&lt;&gt;1", Sheet4!$AF$2:$AF$46, "Yes")</f>
        <v>0</v>
      </c>
      <c r="AF58" t="s">
        <v>524</v>
      </c>
    </row>
    <row r="59" spans="28:32" x14ac:dyDescent="0.25">
      <c r="AC59">
        <f>SUM(AC54:AC58)</f>
        <v>7</v>
      </c>
      <c r="AD59">
        <f t="shared" ref="AD59:AE59" si="15">SUM(AD54:AD58)</f>
        <v>0</v>
      </c>
      <c r="AE59">
        <f t="shared" si="15"/>
        <v>1</v>
      </c>
      <c r="AF59">
        <f>SUM(AC59:AE59)</f>
        <v>8</v>
      </c>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46C5D-8E30-4FC4-859F-2C0B30B5ADAF}">
  <dimension ref="A1:AI46"/>
  <sheetViews>
    <sheetView workbookViewId="0">
      <selection activeCell="AF29" sqref="AF29"/>
    </sheetView>
  </sheetViews>
  <sheetFormatPr defaultRowHeight="15" x14ac:dyDescent="0.25"/>
  <cols>
    <col min="1" max="1" width="13.140625" bestFit="1" customWidth="1"/>
    <col min="2" max="2" width="11.28515625" bestFit="1" customWidth="1"/>
    <col min="3" max="3" width="9.7109375" bestFit="1" customWidth="1"/>
    <col min="4" max="4" width="15" bestFit="1" customWidth="1"/>
    <col min="5" max="5" width="15" customWidth="1"/>
    <col min="6" max="6" width="16.28515625" bestFit="1" customWidth="1"/>
    <col min="7" max="7" width="16.28515625" customWidth="1"/>
    <col min="8" max="8" width="25.28515625" bestFit="1" customWidth="1"/>
    <col min="9" max="9" width="26" bestFit="1" customWidth="1"/>
    <col min="10" max="10" width="31.7109375" bestFit="1" customWidth="1"/>
    <col min="11" max="11" width="20.28515625" bestFit="1" customWidth="1"/>
    <col min="12" max="12" width="20.28515625" customWidth="1"/>
    <col min="13" max="13" width="18.28515625" bestFit="1" customWidth="1"/>
    <col min="14" max="14" width="21.7109375" bestFit="1" customWidth="1"/>
    <col min="16" max="16" width="16.85546875" bestFit="1" customWidth="1"/>
    <col min="17" max="17" width="20.28515625" bestFit="1" customWidth="1"/>
    <col min="19" max="19" width="20.42578125" bestFit="1" customWidth="1"/>
    <col min="20" max="20" width="18.28515625" bestFit="1" customWidth="1"/>
    <col min="21" max="21" width="26" bestFit="1" customWidth="1"/>
    <col min="22" max="22" width="26" customWidth="1"/>
    <col min="23" max="23" width="17.140625" bestFit="1" customWidth="1"/>
    <col min="27" max="27" width="34.140625" customWidth="1"/>
    <col min="28" max="28" width="30.7109375" bestFit="1" customWidth="1"/>
    <col min="29" max="29" width="27.42578125" bestFit="1" customWidth="1"/>
    <col min="30" max="30" width="8.7109375" customWidth="1"/>
    <col min="31" max="32" width="27.42578125" customWidth="1"/>
    <col min="33" max="33" width="32.85546875" bestFit="1" customWidth="1"/>
    <col min="34" max="34" width="26.7109375" bestFit="1" customWidth="1"/>
    <col min="35" max="35" width="25.140625" bestFit="1" customWidth="1"/>
  </cols>
  <sheetData>
    <row r="1" spans="1:35" x14ac:dyDescent="0.25">
      <c r="A1" t="s">
        <v>0</v>
      </c>
      <c r="B1" t="s">
        <v>1</v>
      </c>
      <c r="C1" t="s">
        <v>497</v>
      </c>
      <c r="D1" t="s">
        <v>281</v>
      </c>
      <c r="E1" t="s">
        <v>526</v>
      </c>
      <c r="F1" t="s">
        <v>278</v>
      </c>
      <c r="G1" t="s">
        <v>527</v>
      </c>
      <c r="H1" t="s">
        <v>350</v>
      </c>
      <c r="I1" t="s">
        <v>426</v>
      </c>
      <c r="J1" t="s">
        <v>351</v>
      </c>
      <c r="K1" t="s">
        <v>427</v>
      </c>
      <c r="L1" t="s">
        <v>528</v>
      </c>
      <c r="M1" t="s">
        <v>428</v>
      </c>
      <c r="N1" t="s">
        <v>529</v>
      </c>
      <c r="P1" t="s">
        <v>530</v>
      </c>
      <c r="Q1" t="s">
        <v>537</v>
      </c>
      <c r="T1" t="s">
        <v>422</v>
      </c>
      <c r="U1" t="s">
        <v>423</v>
      </c>
      <c r="V1" t="s">
        <v>585</v>
      </c>
      <c r="W1" t="s">
        <v>425</v>
      </c>
      <c r="AA1" t="s">
        <v>539</v>
      </c>
      <c r="AB1" t="s">
        <v>540</v>
      </c>
      <c r="AC1" t="s">
        <v>538</v>
      </c>
      <c r="AE1" t="s">
        <v>541</v>
      </c>
      <c r="AF1" t="s">
        <v>545</v>
      </c>
      <c r="AG1" t="s">
        <v>557</v>
      </c>
      <c r="AH1" t="s">
        <v>542</v>
      </c>
      <c r="AI1" t="s">
        <v>593</v>
      </c>
    </row>
    <row r="2" spans="1:35" x14ac:dyDescent="0.25">
      <c r="A2" t="str">
        <f>Sheet4!A2</f>
        <v>4a O 144/14</v>
      </c>
      <c r="B2" t="str">
        <f>Sheet4!B2</f>
        <v>Duesseldorf</v>
      </c>
      <c r="C2" t="str">
        <f>Sheet4!E2</f>
        <v>Yes</v>
      </c>
      <c r="D2" s="6" t="str">
        <f>Sheet4!N2</f>
        <v>03.11.2015</v>
      </c>
      <c r="E2" s="14">
        <f>DATE(VALUE(RIGHT(D2,4)), VALUE(MID(D2,4,2)), VALUE(LEFT(D2,2)))</f>
        <v>42311</v>
      </c>
      <c r="F2" t="str">
        <f>Sheet4!U2</f>
        <v>18.12.2014</v>
      </c>
      <c r="G2" s="15">
        <f>DATE(VALUE(RIGHT(F2,4)), VALUE(MID(F2,4,2)), VALUE(LEFT(F2,2)))</f>
        <v>41991</v>
      </c>
      <c r="H2" t="str">
        <f>Sheet4!AO2</f>
        <v>Yes</v>
      </c>
      <c r="I2" t="str">
        <f>Sheet4!AQ2</f>
        <v>6 Ni 15/15 (EP)</v>
      </c>
      <c r="J2" t="str">
        <f>Sheet4!AP2</f>
        <v>Invalid for Germany</v>
      </c>
      <c r="K2" t="str">
        <f>Sheet4!AR2</f>
        <v>14.02.2018</v>
      </c>
      <c r="L2" s="15">
        <f>DATE(VALUE(RIGHT(K2,4)), VALUE(MID(K2,4,2)), VALUE(LEFT(K2,2)))</f>
        <v>43145</v>
      </c>
      <c r="M2" t="str">
        <f>Sheet4!AS2</f>
        <v>31.07.2015</v>
      </c>
      <c r="N2" s="15">
        <f>DATE(VALUE(RIGHT(M2,4)), VALUE(MID(M2,4,2)), VALUE(LEFT(M2,2)))</f>
        <v>42216</v>
      </c>
      <c r="P2">
        <f>L2-N2</f>
        <v>929</v>
      </c>
      <c r="Q2">
        <f>L2-E2</f>
        <v>834</v>
      </c>
      <c r="S2" t="s">
        <v>516</v>
      </c>
      <c r="T2">
        <f>COUNTIFS($J$2:$J$46, "Invalid for Germany", $P$2:$P$46, "&lt;365")</f>
        <v>1</v>
      </c>
      <c r="U2">
        <f>COUNTIFS($J$2:$J$46, "Partially invalid for Germany", $P$2:$P$46, "&lt;365")</f>
        <v>0</v>
      </c>
      <c r="V2">
        <f>COUNTIFS($J$2:$J$46, "Fully revoked", $P$2:$P$46, "&lt;365")</f>
        <v>0</v>
      </c>
      <c r="W2">
        <f>COUNTIFS($J$2:$J$46, "Charges dismissed", $P$2:$P$46, "&lt;365")</f>
        <v>1</v>
      </c>
      <c r="AA2" cm="1">
        <f t="array" ref="AA2">MEDIAN(IF(ISERROR('Lag graphs'!N2:N46), "", 'Lag graphs'!N2:N46))</f>
        <v>530</v>
      </c>
      <c r="AB2" cm="1">
        <f t="array" ref="AB2">MEDIAN(IF(ISERROR(P2:P46), "", P2:P46))</f>
        <v>938</v>
      </c>
      <c r="AC2">
        <f t="array" ref="AC2">MEDIAN(IF(ISERROR(Q2:Q46), "", Q2:Q46))</f>
        <v>518.5</v>
      </c>
      <c r="AE2">
        <f>COUNTIF(C2:C46, "Yes")</f>
        <v>27</v>
      </c>
      <c r="AF2">
        <f>COUNTIFS(C2:C46,"Yes",H2:H46,"Yes")</f>
        <v>25</v>
      </c>
      <c r="AG2">
        <f>COUNTIFS(C2:C46, "Yes", J2:J46, "Invalid for Germany") + COUNTIFS(C2:C46, "Yes", J2:J46, "Partially invalid for Germany") + COUNTIFS(C2:C46, "Yes", J2:J46, "Fully revoked")</f>
        <v>12</v>
      </c>
      <c r="AH2">
        <f>AF2/AE2</f>
        <v>0.92592592592592593</v>
      </c>
      <c r="AI2">
        <f>(COUNTIFS(C2:C46, "Yes", J2:J46, "Invalid for Germany") + COUNTIFS(C2:C46, "Yes", J2:J46, "Partially invalid for Germany") + COUNTIFS(C2:C46, "Yes", J2:J46, "Fully revoked"))/(COUNTIF(C2:C46, "Yes"))</f>
        <v>0.44444444444444442</v>
      </c>
    </row>
    <row r="3" spans="1:35" x14ac:dyDescent="0.25">
      <c r="A3" t="str">
        <f>Sheet4!A3</f>
        <v>4a O 126/14</v>
      </c>
      <c r="B3" t="str">
        <f>Sheet4!B3</f>
        <v>Duesseldorf</v>
      </c>
      <c r="C3" t="str">
        <f>Sheet4!E3</f>
        <v>Yes</v>
      </c>
      <c r="D3" s="6" t="str">
        <f>Sheet4!N3</f>
        <v>31.03.2016</v>
      </c>
      <c r="E3" s="14">
        <f t="shared" ref="E3:E46" si="0">DATE(VALUE(RIGHT(D3,4)), VALUE(MID(D3,4,2)), VALUE(LEFT(D3,2)))</f>
        <v>42460</v>
      </c>
      <c r="F3" t="str">
        <f>Sheet4!U3</f>
        <v>12.11.2014</v>
      </c>
      <c r="G3" s="15">
        <f t="shared" ref="G3:G46" si="1">DATE(VALUE(RIGHT(F3,4)), VALUE(MID(F3,4,2)), VALUE(LEFT(F3,2)))</f>
        <v>41955</v>
      </c>
      <c r="H3" t="str">
        <f>Sheet4!AO3</f>
        <v>Yes</v>
      </c>
      <c r="I3" t="str">
        <f>Sheet4!AQ3</f>
        <v>4 Ni 6/15 (EP), 6 Ni 7/16 (EP), 6 Ni 63/16 (EP), 4 Ni 33/14 (EP)</v>
      </c>
      <c r="J3" t="str">
        <f>Sheet4!AP3</f>
        <v>-</v>
      </c>
      <c r="K3" t="str">
        <f>Sheet4!AR3</f>
        <v>-</v>
      </c>
      <c r="L3" s="15" t="e">
        <f t="shared" ref="L3:L46" si="2">DATE(VALUE(RIGHT(K3,4)), VALUE(MID(K3,4,2)), VALUE(LEFT(K3,2)))</f>
        <v>#VALUE!</v>
      </c>
      <c r="M3" t="str">
        <f>Sheet4!AS3</f>
        <v>06.11.2014</v>
      </c>
      <c r="N3" s="15">
        <f t="shared" ref="N3:N46" si="3">DATE(VALUE(RIGHT(M3,4)), VALUE(MID(M3,4,2)), VALUE(LEFT(M3,2)))</f>
        <v>41949</v>
      </c>
      <c r="P3" t="e">
        <f t="shared" ref="P3:P46" si="4">L3-N3</f>
        <v>#VALUE!</v>
      </c>
      <c r="Q3" t="e">
        <f t="shared" ref="Q3:Q46" si="5">L3-E3</f>
        <v>#VALUE!</v>
      </c>
      <c r="S3" t="s">
        <v>517</v>
      </c>
      <c r="T3">
        <f>COUNTIFS($J$2:$J$46, "Invalid for Germany", $P$2:$P$46, "&gt;=365", $P$2:$P$46, "&lt;730")</f>
        <v>1</v>
      </c>
      <c r="U3">
        <f>COUNTIFS($J$2:$J$46, "Partially invalid for Germany", $P$2:$P$46, "&gt;=365", $P$2:$P$46, "&lt;730")</f>
        <v>1</v>
      </c>
      <c r="V3">
        <f>COUNTIFS($J$2:$J$46, "Fully revoked", $P$2:$P$46, "&gt;=365", $P$2:$P$46, "&lt;730")</f>
        <v>0</v>
      </c>
      <c r="W3">
        <f>COUNTIFS($J$2:$J$46, "Charges dismissed", $P$2:$P$46, "&gt;=365", $P$2:$P$46, "&lt;730")</f>
        <v>1</v>
      </c>
      <c r="AA3">
        <f>AA2/365</f>
        <v>1.452054794520548</v>
      </c>
      <c r="AB3">
        <f>AB2/365</f>
        <v>2.56986301369863</v>
      </c>
      <c r="AC3">
        <f>AC2/365</f>
        <v>1.4205479452054794</v>
      </c>
      <c r="AF3" t="s">
        <v>544</v>
      </c>
      <c r="AG3" t="s">
        <v>558</v>
      </c>
      <c r="AH3" t="s">
        <v>543</v>
      </c>
    </row>
    <row r="4" spans="1:35" x14ac:dyDescent="0.25">
      <c r="A4" t="str">
        <f>Sheet4!A4</f>
        <v>4a O 73/14</v>
      </c>
      <c r="B4" t="str">
        <f>Sheet4!B4</f>
        <v>Duesseldorf</v>
      </c>
      <c r="C4" t="str">
        <f>Sheet4!E4</f>
        <v>Yes</v>
      </c>
      <c r="D4" s="6" t="str">
        <f>Sheet4!N4</f>
        <v>31.03.2016</v>
      </c>
      <c r="E4" s="14">
        <f t="shared" si="0"/>
        <v>42460</v>
      </c>
      <c r="F4" t="str">
        <f>Sheet4!U4</f>
        <v>23.07.2014</v>
      </c>
      <c r="G4" s="15">
        <f t="shared" si="1"/>
        <v>41843</v>
      </c>
      <c r="H4" t="str">
        <f>Sheet4!AO4</f>
        <v>Yes</v>
      </c>
      <c r="I4" t="str">
        <f>Sheet4!AQ4</f>
        <v>6 Ni 6/16 (EP)</v>
      </c>
      <c r="J4" t="str">
        <f>Sheet4!AP4</f>
        <v>Invalid for Germany</v>
      </c>
      <c r="K4" t="str">
        <f>Sheet4!AR4</f>
        <v>11.01.2017</v>
      </c>
      <c r="L4" s="15">
        <f t="shared" si="2"/>
        <v>42746</v>
      </c>
      <c r="M4" t="str">
        <f>Sheet4!AS4</f>
        <v>04.07.2016</v>
      </c>
      <c r="N4" s="15">
        <f t="shared" si="3"/>
        <v>42555</v>
      </c>
      <c r="P4">
        <f t="shared" si="4"/>
        <v>191</v>
      </c>
      <c r="Q4">
        <f t="shared" si="5"/>
        <v>286</v>
      </c>
      <c r="S4" t="s">
        <v>518</v>
      </c>
      <c r="T4">
        <f>COUNTIFS($J$2:$J$46, "Invalid for Germany", $P$2:$P$46, "&gt;=730", $P$2:$P$46, "&lt;1095")</f>
        <v>7</v>
      </c>
      <c r="U4">
        <f>COUNTIFS($J$2:$J$46, "Partially invalid for Germany", $P$2:$P$46, "&gt;=730", $P$2:$P$46, "&lt;1095")</f>
        <v>5</v>
      </c>
      <c r="V4">
        <f>COUNTIFS($J$2:$J$46, "Fully revoked", $P$2:$P$46, "&gt;=730", $P$2:$P$46, "&lt;1095")</f>
        <v>1</v>
      </c>
      <c r="W4">
        <f>COUNTIFS($J$2:$J$46, "Charges dismissed", $P$2:$P$46, "&gt;=730", $P$2:$P$46, "&lt;1095")</f>
        <v>0</v>
      </c>
      <c r="AF4">
        <f>COUNTIFS(C2:C46,"Yes",H2:H46,"No") + COUNTIFS(C2:C46,"Yes",H2:H46,"?")</f>
        <v>2</v>
      </c>
      <c r="AG4">
        <f>COUNTIFS(C2:C46, "Yes", J2:J46, "Charges dismissed") + COUNTIFS(C2:C46, "Yes", H2:H46, "Yes", J2:J46, "-")</f>
        <v>13</v>
      </c>
      <c r="AH4">
        <f>AF4/AE2</f>
        <v>7.407407407407407E-2</v>
      </c>
    </row>
    <row r="5" spans="1:35" x14ac:dyDescent="0.25">
      <c r="A5" t="str">
        <f>Sheet4!A5</f>
        <v>4a O 16/16</v>
      </c>
      <c r="B5" t="str">
        <f>Sheet4!B5</f>
        <v>Duesseldorf</v>
      </c>
      <c r="C5" t="str">
        <f>Sheet4!E5</f>
        <v>No</v>
      </c>
      <c r="D5" s="6" t="str">
        <f>Sheet4!N5</f>
        <v>13.07.2017</v>
      </c>
      <c r="E5" s="14">
        <f t="shared" si="0"/>
        <v>42929</v>
      </c>
      <c r="F5" t="str">
        <f>Sheet4!U5</f>
        <v>18.02.2016</v>
      </c>
      <c r="G5" s="15">
        <f t="shared" si="1"/>
        <v>42418</v>
      </c>
      <c r="H5" t="str">
        <f>Sheet4!AO5</f>
        <v>Yes</v>
      </c>
      <c r="I5" t="str">
        <f>Sheet4!AQ5</f>
        <v>6 Ni 15/15 (EP)</v>
      </c>
      <c r="J5" t="str">
        <f>Sheet4!AP5</f>
        <v>Invalid for Germany</v>
      </c>
      <c r="K5" t="str">
        <f>Sheet4!AR5</f>
        <v>14.02.2018</v>
      </c>
      <c r="L5" s="15">
        <f t="shared" si="2"/>
        <v>43145</v>
      </c>
      <c r="M5" t="str">
        <f>Sheet4!AS5</f>
        <v>31.07.2015</v>
      </c>
      <c r="N5" s="15">
        <f t="shared" si="3"/>
        <v>42216</v>
      </c>
      <c r="P5">
        <f t="shared" si="4"/>
        <v>929</v>
      </c>
      <c r="Q5">
        <f t="shared" si="5"/>
        <v>216</v>
      </c>
      <c r="S5" t="s">
        <v>519</v>
      </c>
      <c r="T5">
        <f>COUNTIFS($J$2:$J$46, "Invalid for Germany", $P$2:$P$46, "&gt;=1095", $P$2:$P$46, "&lt;1825")</f>
        <v>3</v>
      </c>
      <c r="U5">
        <f>COUNTIFS($J$2:$J$46, "Partially invalid for Germany", $P$2:$P$46, "&gt;=1095", $P$2:$P$46, "&lt;1825")</f>
        <v>6</v>
      </c>
      <c r="V5">
        <f>COUNTIFS($J$2:$J$46, "Fully revoked", $P$2:$P$46, "&gt;=1095", $P$2:$P$46, "&lt;1825")</f>
        <v>0</v>
      </c>
      <c r="W5">
        <f>COUNTIFS($J$2:$J$46, "Charges dismissed", $P$2:$P$46, "&gt;=1095", $P$2:$P$46, "&lt;1825")</f>
        <v>0</v>
      </c>
      <c r="X5" t="s">
        <v>523</v>
      </c>
    </row>
    <row r="6" spans="1:35" x14ac:dyDescent="0.25">
      <c r="A6" t="str">
        <f>Sheet4!A6</f>
        <v>4a O 35/16</v>
      </c>
      <c r="B6" t="str">
        <f>Sheet4!B6</f>
        <v>Duesseldorf</v>
      </c>
      <c r="C6" t="str">
        <f>Sheet4!E6</f>
        <v>No</v>
      </c>
      <c r="D6" s="6" t="str">
        <f>Sheet4!N6</f>
        <v>13.07.2017</v>
      </c>
      <c r="E6" s="14">
        <f t="shared" si="0"/>
        <v>42929</v>
      </c>
      <c r="F6" t="str">
        <f>Sheet4!U6</f>
        <v>09.04.2016</v>
      </c>
      <c r="G6" s="15">
        <f t="shared" si="1"/>
        <v>42469</v>
      </c>
      <c r="H6" t="str">
        <f>Sheet4!AO6</f>
        <v>Yes</v>
      </c>
      <c r="I6" t="str">
        <f>Sheet4!AQ6</f>
        <v>6 Ni 15/15 (EP)</v>
      </c>
      <c r="J6" t="str">
        <f>Sheet4!AP6</f>
        <v>Invalid for Germany</v>
      </c>
      <c r="K6" t="str">
        <f>Sheet4!AR6</f>
        <v>14.02.2018</v>
      </c>
      <c r="L6" s="15">
        <f t="shared" si="2"/>
        <v>43145</v>
      </c>
      <c r="M6" t="str">
        <f>Sheet4!AS6</f>
        <v>31.07.2015</v>
      </c>
      <c r="N6" s="15">
        <f t="shared" si="3"/>
        <v>42216</v>
      </c>
      <c r="P6">
        <f t="shared" si="4"/>
        <v>929</v>
      </c>
      <c r="Q6">
        <f t="shared" si="5"/>
        <v>216</v>
      </c>
      <c r="S6" t="s">
        <v>520</v>
      </c>
      <c r="T6">
        <f>COUNTIFS($J$2:$J$46, "Invalid for Germany", $P$2:$P$46, "&gt;=1825")</f>
        <v>0</v>
      </c>
      <c r="U6">
        <f>COUNTIFS($J$2:$J$46, "Partially invalid for Germany", $P$2:$P$46, "&gt;=1825")</f>
        <v>0</v>
      </c>
      <c r="V6">
        <f>COUNTIFS($J$2:$J$46, "Fully revoked", $P$2:$P$46, "&gt;=1825")</f>
        <v>0</v>
      </c>
      <c r="W6">
        <f>COUNTIFS($J$2:$J$46, "Charges dismissed", $P$2:$P$46, "&gt;=1825")</f>
        <v>0</v>
      </c>
      <c r="X6" t="s">
        <v>531</v>
      </c>
    </row>
    <row r="7" spans="1:35" x14ac:dyDescent="0.25">
      <c r="A7" t="str">
        <f>Sheet4!A7</f>
        <v>4c O 72/17</v>
      </c>
      <c r="B7" t="str">
        <f>Sheet4!B7</f>
        <v>Duesseldorf</v>
      </c>
      <c r="C7" t="str">
        <f>Sheet4!E7</f>
        <v>No</v>
      </c>
      <c r="D7" s="6" t="str">
        <f>Sheet4!N7</f>
        <v>11.07.2018</v>
      </c>
      <c r="E7" s="14">
        <f t="shared" si="0"/>
        <v>43292</v>
      </c>
      <c r="F7" t="str">
        <f>Sheet4!U7</f>
        <v>25.08.2017</v>
      </c>
      <c r="G7" s="15">
        <f t="shared" si="1"/>
        <v>42972</v>
      </c>
      <c r="H7" t="str">
        <f>Sheet4!AO7</f>
        <v>Yes</v>
      </c>
      <c r="I7" t="str">
        <f>Sheet4!AQ7</f>
        <v>5 Ni 50/16 (EP)</v>
      </c>
      <c r="J7" t="str">
        <f>Sheet4!AP7</f>
        <v>Partially invalid for Germany</v>
      </c>
      <c r="K7" t="str">
        <f>Sheet4!AR7</f>
        <v>12.02.2020</v>
      </c>
      <c r="L7" s="15">
        <f t="shared" si="2"/>
        <v>43873</v>
      </c>
      <c r="M7" t="str">
        <f>Sheet4!AS7</f>
        <v>26.07.2016</v>
      </c>
      <c r="N7" s="15">
        <f t="shared" si="3"/>
        <v>42577</v>
      </c>
      <c r="P7">
        <f t="shared" si="4"/>
        <v>1296</v>
      </c>
      <c r="Q7">
        <f t="shared" si="5"/>
        <v>581</v>
      </c>
      <c r="T7">
        <f>SUM(T2:T6)</f>
        <v>12</v>
      </c>
      <c r="U7">
        <f t="shared" ref="U7:W7" si="6">SUM(U2:U6)</f>
        <v>12</v>
      </c>
      <c r="V7">
        <f t="shared" si="6"/>
        <v>1</v>
      </c>
      <c r="W7">
        <f t="shared" si="6"/>
        <v>2</v>
      </c>
      <c r="X7">
        <f>SUM(T7:W7)</f>
        <v>27</v>
      </c>
    </row>
    <row r="8" spans="1:35" x14ac:dyDescent="0.25">
      <c r="A8" t="str">
        <f>Sheet4!A8</f>
        <v>4c O 77/17</v>
      </c>
      <c r="B8" t="str">
        <f>Sheet4!B8</f>
        <v>Duesseldorf</v>
      </c>
      <c r="C8" t="str">
        <f>Sheet4!E8</f>
        <v>No</v>
      </c>
      <c r="D8" s="6" t="str">
        <f>Sheet4!N8</f>
        <v>11.07.2018</v>
      </c>
      <c r="E8" s="14">
        <f t="shared" si="0"/>
        <v>43292</v>
      </c>
      <c r="F8" t="str">
        <f>Sheet4!U8</f>
        <v>11.09.2017</v>
      </c>
      <c r="G8" s="15">
        <f t="shared" si="1"/>
        <v>42989</v>
      </c>
      <c r="H8" t="str">
        <f>Sheet4!AO8</f>
        <v>Yes</v>
      </c>
      <c r="I8" t="str">
        <f>Sheet4!AQ8</f>
        <v>5 Ni 50/16 (EP)</v>
      </c>
      <c r="J8" t="str">
        <f>Sheet4!AP8</f>
        <v>Partially invalid for Germany</v>
      </c>
      <c r="K8" t="str">
        <f>Sheet4!AR8</f>
        <v>12.02.2020</v>
      </c>
      <c r="L8" s="15">
        <f t="shared" si="2"/>
        <v>43873</v>
      </c>
      <c r="M8" t="str">
        <f>Sheet4!AS8</f>
        <v>26.07.2016</v>
      </c>
      <c r="N8" s="15">
        <f t="shared" si="3"/>
        <v>42577</v>
      </c>
      <c r="P8">
        <f t="shared" si="4"/>
        <v>1296</v>
      </c>
      <c r="Q8">
        <f t="shared" si="5"/>
        <v>581</v>
      </c>
    </row>
    <row r="9" spans="1:35" x14ac:dyDescent="0.25">
      <c r="A9" t="str">
        <f>Sheet4!A9</f>
        <v>4a O 15/17</v>
      </c>
      <c r="B9" t="str">
        <f>Sheet4!B9</f>
        <v>Duesseldorf</v>
      </c>
      <c r="C9" t="str">
        <f>Sheet4!E9</f>
        <v>Yes</v>
      </c>
      <c r="D9" s="6" t="str">
        <f>Sheet4!N9</f>
        <v>09.11.2018</v>
      </c>
      <c r="E9" s="14">
        <f t="shared" si="0"/>
        <v>43413</v>
      </c>
      <c r="F9" t="str">
        <f>Sheet4!U9</f>
        <v>05.02.2017</v>
      </c>
      <c r="G9" s="15">
        <f t="shared" si="1"/>
        <v>42771</v>
      </c>
      <c r="H9" t="str">
        <f>Sheet4!AO9</f>
        <v>No</v>
      </c>
      <c r="I9" t="str">
        <f>Sheet4!AQ9</f>
        <v>-</v>
      </c>
      <c r="J9" t="str">
        <f>Sheet4!AP9</f>
        <v>-</v>
      </c>
      <c r="K9" t="str">
        <f>Sheet4!AR9</f>
        <v>-</v>
      </c>
      <c r="L9" s="15" t="e">
        <f t="shared" si="2"/>
        <v>#VALUE!</v>
      </c>
      <c r="M9" t="str">
        <f>Sheet4!AS9</f>
        <v>-</v>
      </c>
      <c r="N9" s="15" t="e">
        <f t="shared" si="3"/>
        <v>#VALUE!</v>
      </c>
      <c r="P9" t="e">
        <f t="shared" si="4"/>
        <v>#VALUE!</v>
      </c>
      <c r="Q9" t="e">
        <f t="shared" si="5"/>
        <v>#VALUE!</v>
      </c>
    </row>
    <row r="10" spans="1:35" x14ac:dyDescent="0.25">
      <c r="A10" t="str">
        <f>Sheet4!A10</f>
        <v>4c O 3/17</v>
      </c>
      <c r="B10" t="str">
        <f>Sheet4!B10</f>
        <v>Duesseldorf</v>
      </c>
      <c r="C10" t="str">
        <f>Sheet4!E10</f>
        <v>Yes</v>
      </c>
      <c r="D10" s="6" t="str">
        <f>Sheet4!N10</f>
        <v>21.12.2018</v>
      </c>
      <c r="E10" s="14">
        <f t="shared" si="0"/>
        <v>43455</v>
      </c>
      <c r="F10" t="str">
        <f>Sheet4!U10</f>
        <v>11.01.2017</v>
      </c>
      <c r="G10" s="15">
        <f t="shared" si="1"/>
        <v>42746</v>
      </c>
      <c r="H10" t="str">
        <f>Sheet4!AO10</f>
        <v>Yes</v>
      </c>
      <c r="I10" t="str">
        <f>Sheet4!AQ10</f>
        <v>2 Ni 36/17 (EP), 2 Ni 19/21 (EP)</v>
      </c>
      <c r="J10" t="str">
        <f>Sheet4!AP10</f>
        <v>-</v>
      </c>
      <c r="K10" t="str">
        <f>Sheet4!AR10</f>
        <v>-</v>
      </c>
      <c r="L10" s="15" t="e">
        <f t="shared" si="2"/>
        <v>#VALUE!</v>
      </c>
      <c r="M10" t="str">
        <f>Sheet4!AS10</f>
        <v>03.07.2017, 22.04.2021</v>
      </c>
      <c r="N10" s="15">
        <f t="shared" si="3"/>
        <v>44380</v>
      </c>
      <c r="P10" t="e">
        <f t="shared" si="4"/>
        <v>#VALUE!</v>
      </c>
      <c r="Q10" t="e">
        <f t="shared" si="5"/>
        <v>#VALUE!</v>
      </c>
    </row>
    <row r="11" spans="1:35" x14ac:dyDescent="0.25">
      <c r="A11" t="str">
        <f>Sheet4!A11</f>
        <v>4a O 17/17</v>
      </c>
      <c r="B11" t="str">
        <f>Sheet4!B11</f>
        <v>Duesseldorf</v>
      </c>
      <c r="C11" t="str">
        <f>Sheet4!E11</f>
        <v>Yes</v>
      </c>
      <c r="D11" s="6" t="str">
        <f>Sheet4!N11</f>
        <v>09.11.2018</v>
      </c>
      <c r="E11" s="14">
        <f t="shared" si="0"/>
        <v>43413</v>
      </c>
      <c r="F11" t="str">
        <f>Sheet4!U11</f>
        <v>10.02.2017</v>
      </c>
      <c r="G11" s="15">
        <f t="shared" si="1"/>
        <v>42776</v>
      </c>
      <c r="H11" t="str">
        <f>Sheet4!AO11</f>
        <v>Yes</v>
      </c>
      <c r="I11" t="str">
        <f>Sheet4!AQ11</f>
        <v>2 Ni 66/17 (EP), 7 Ni 21/19 (EP)</v>
      </c>
      <c r="J11" t="str">
        <f>Sheet4!AP11</f>
        <v>-</v>
      </c>
      <c r="K11" t="str">
        <f>Sheet4!AR11</f>
        <v>-</v>
      </c>
      <c r="L11" s="15" t="e">
        <f t="shared" si="2"/>
        <v>#VALUE!</v>
      </c>
      <c r="M11" t="str">
        <f>Sheet4!AS11</f>
        <v>19.10.2017</v>
      </c>
      <c r="N11" s="15">
        <f t="shared" si="3"/>
        <v>43027</v>
      </c>
      <c r="P11" t="e">
        <f t="shared" si="4"/>
        <v>#VALUE!</v>
      </c>
      <c r="Q11" t="e">
        <f t="shared" si="5"/>
        <v>#VALUE!</v>
      </c>
    </row>
    <row r="12" spans="1:35" x14ac:dyDescent="0.25">
      <c r="A12" t="str">
        <f>Sheet4!A12</f>
        <v>4c O 81/17</v>
      </c>
      <c r="B12" t="str">
        <f>Sheet4!B12</f>
        <v>Duesseldorf</v>
      </c>
      <c r="C12" t="str">
        <f>Sheet4!E12</f>
        <v>No</v>
      </c>
      <c r="D12" s="6" t="str">
        <f>Sheet4!N12</f>
        <v>11.07.2018</v>
      </c>
      <c r="E12" s="14">
        <f t="shared" si="0"/>
        <v>43292</v>
      </c>
      <c r="F12" t="str">
        <f>Sheet4!U12</f>
        <v>24.09.2017</v>
      </c>
      <c r="G12" s="15">
        <f t="shared" si="1"/>
        <v>43002</v>
      </c>
      <c r="H12" t="str">
        <f>Sheet4!AO12</f>
        <v>Yes</v>
      </c>
      <c r="I12" t="str">
        <f>Sheet4!AQ12</f>
        <v>5 Ni 50/16 (EP)</v>
      </c>
      <c r="J12" t="str">
        <f>Sheet4!AP12</f>
        <v>Partially invalid for Germany</v>
      </c>
      <c r="K12" t="str">
        <f>Sheet4!AR12</f>
        <v>12.02.2020</v>
      </c>
      <c r="L12" s="15">
        <f t="shared" si="2"/>
        <v>43873</v>
      </c>
      <c r="M12" t="str">
        <f>Sheet4!AS12</f>
        <v>26.07.2016</v>
      </c>
      <c r="N12" s="15">
        <f t="shared" si="3"/>
        <v>42577</v>
      </c>
      <c r="P12">
        <f t="shared" si="4"/>
        <v>1296</v>
      </c>
      <c r="Q12">
        <f t="shared" si="5"/>
        <v>581</v>
      </c>
    </row>
    <row r="13" spans="1:35" x14ac:dyDescent="0.25">
      <c r="A13" t="str">
        <f>Sheet4!A13</f>
        <v>4c O 12/17</v>
      </c>
      <c r="B13" t="str">
        <f>Sheet4!B13</f>
        <v>Duesseldorf</v>
      </c>
      <c r="C13" t="str">
        <f>Sheet4!E13</f>
        <v>Yes</v>
      </c>
      <c r="D13" s="6" t="str">
        <f>Sheet4!N13</f>
        <v>08.01.2019</v>
      </c>
      <c r="E13" s="14">
        <f t="shared" si="0"/>
        <v>43473</v>
      </c>
      <c r="F13" t="str">
        <f>Sheet4!U13</f>
        <v>10.02.2017</v>
      </c>
      <c r="G13" s="15">
        <f t="shared" si="1"/>
        <v>42776</v>
      </c>
      <c r="H13" t="str">
        <f>Sheet4!AO13</f>
        <v>Yes</v>
      </c>
      <c r="I13" t="str">
        <f>Sheet4!AQ13</f>
        <v>2 Ni 48/17 (EP), 2 Ni 51/17 (EP)</v>
      </c>
      <c r="J13" t="str">
        <f>Sheet4!AP13</f>
        <v>-</v>
      </c>
      <c r="K13" t="str">
        <f>Sheet4!AR13</f>
        <v>-</v>
      </c>
      <c r="L13" s="15" t="e">
        <f t="shared" si="2"/>
        <v>#VALUE!</v>
      </c>
      <c r="M13" t="str">
        <f>Sheet4!AS13</f>
        <v>24.08.2017</v>
      </c>
      <c r="N13" s="15">
        <f t="shared" si="3"/>
        <v>42971</v>
      </c>
      <c r="P13" t="e">
        <f t="shared" si="4"/>
        <v>#VALUE!</v>
      </c>
      <c r="Q13" t="e">
        <f t="shared" si="5"/>
        <v>#VALUE!</v>
      </c>
    </row>
    <row r="14" spans="1:35" x14ac:dyDescent="0.25">
      <c r="A14" t="str">
        <f>Sheet4!A14</f>
        <v>4c O 44/18</v>
      </c>
      <c r="B14" t="str">
        <f>Sheet4!B14</f>
        <v>Duesseldorf</v>
      </c>
      <c r="C14" t="str">
        <f>Sheet4!E14</f>
        <v>Yes</v>
      </c>
      <c r="D14" s="6" t="str">
        <f>Sheet4!N14</f>
        <v>07.05.2020</v>
      </c>
      <c r="E14" s="14">
        <f t="shared" si="0"/>
        <v>43958</v>
      </c>
      <c r="F14">
        <f>Sheet4!U14</f>
        <v>0</v>
      </c>
      <c r="G14" s="15" t="e">
        <f t="shared" si="1"/>
        <v>#VALUE!</v>
      </c>
      <c r="H14" t="str">
        <f>Sheet4!AO14</f>
        <v>Yes</v>
      </c>
      <c r="I14" t="str">
        <f>Sheet4!AQ14</f>
        <v>2 Ni 39/21 (EP)</v>
      </c>
      <c r="J14" t="str">
        <f>Sheet4!AP14</f>
        <v>Invalid for Germany</v>
      </c>
      <c r="K14" t="str">
        <f>Sheet4!AR14</f>
        <v>16.03.2023</v>
      </c>
      <c r="L14" s="15">
        <f t="shared" si="2"/>
        <v>45001</v>
      </c>
      <c r="M14" t="str">
        <f>Sheet4!AS14</f>
        <v>29.03.2019</v>
      </c>
      <c r="N14" s="15">
        <f t="shared" si="3"/>
        <v>43553</v>
      </c>
      <c r="P14">
        <f t="shared" si="4"/>
        <v>1448</v>
      </c>
      <c r="Q14">
        <f t="shared" si="5"/>
        <v>1043</v>
      </c>
    </row>
    <row r="15" spans="1:35" x14ac:dyDescent="0.25">
      <c r="A15" t="str">
        <f>Sheet4!A15</f>
        <v>4c O 56/18</v>
      </c>
      <c r="B15" t="str">
        <f>Sheet4!B15</f>
        <v>Duesseldorf</v>
      </c>
      <c r="C15" t="str">
        <f>Sheet4!E15</f>
        <v>Yes</v>
      </c>
      <c r="D15" s="6" t="str">
        <f>Sheet4!N15</f>
        <v>07.05.2020</v>
      </c>
      <c r="E15" s="14">
        <f t="shared" si="0"/>
        <v>43958</v>
      </c>
      <c r="F15" t="str">
        <f>Sheet4!U15</f>
        <v>24.09.2018</v>
      </c>
      <c r="G15" s="15">
        <f t="shared" si="1"/>
        <v>43367</v>
      </c>
      <c r="H15" t="str">
        <f>Sheet4!AO15</f>
        <v>Yes</v>
      </c>
      <c r="I15" t="str">
        <f>Sheet4!AQ15</f>
        <v>2 Ni 7/21 (EP)</v>
      </c>
      <c r="J15" t="str">
        <f>Sheet4!AP15</f>
        <v>Partially invalid for Germany</v>
      </c>
      <c r="K15" t="str">
        <f>Sheet4!AR15</f>
        <v>27.01.2023</v>
      </c>
      <c r="L15" s="15">
        <f t="shared" si="2"/>
        <v>44953</v>
      </c>
      <c r="M15" t="str">
        <f>Sheet4!AS15</f>
        <v>08.04.2019</v>
      </c>
      <c r="N15" s="15">
        <f t="shared" si="3"/>
        <v>43563</v>
      </c>
      <c r="P15">
        <f t="shared" si="4"/>
        <v>1390</v>
      </c>
      <c r="Q15">
        <f t="shared" si="5"/>
        <v>995</v>
      </c>
    </row>
    <row r="16" spans="1:35" x14ac:dyDescent="0.25">
      <c r="A16" t="str">
        <f>Sheet4!A16</f>
        <v>4c O 69/18</v>
      </c>
      <c r="B16" t="str">
        <f>Sheet4!B16</f>
        <v>Duesseldorf</v>
      </c>
      <c r="C16" t="str">
        <f>Sheet4!E16</f>
        <v>Yes</v>
      </c>
      <c r="D16" s="6" t="str">
        <f>Sheet4!N16</f>
        <v>07.05.2020</v>
      </c>
      <c r="E16" s="14">
        <f t="shared" si="0"/>
        <v>43958</v>
      </c>
      <c r="F16" t="str">
        <f>Sheet4!U16</f>
        <v>22.11.2018</v>
      </c>
      <c r="G16" s="15">
        <f t="shared" si="1"/>
        <v>43426</v>
      </c>
      <c r="H16" t="str">
        <f>Sheet4!AO16</f>
        <v>Yes</v>
      </c>
      <c r="I16" t="str">
        <f>Sheet4!AQ16</f>
        <v>5 Ni 7/19 (EP)</v>
      </c>
      <c r="J16" t="str">
        <f>Sheet4!AP16</f>
        <v>-</v>
      </c>
      <c r="K16" t="str">
        <f>Sheet4!AR16</f>
        <v>-</v>
      </c>
      <c r="L16" s="15" t="e">
        <f t="shared" si="2"/>
        <v>#VALUE!</v>
      </c>
      <c r="M16" t="str">
        <f>Sheet4!AS16</f>
        <v>24.07.2019</v>
      </c>
      <c r="N16" s="15">
        <f t="shared" si="3"/>
        <v>43670</v>
      </c>
      <c r="P16" t="e">
        <f t="shared" si="4"/>
        <v>#VALUE!</v>
      </c>
      <c r="Q16" t="e">
        <f t="shared" si="5"/>
        <v>#VALUE!</v>
      </c>
    </row>
    <row r="17" spans="1:32" x14ac:dyDescent="0.25">
      <c r="A17" s="10" t="str">
        <f>Sheet4!A17</f>
        <v>4c O 17/19</v>
      </c>
      <c r="B17" t="str">
        <f>Sheet4!B17</f>
        <v>Duesseldorf</v>
      </c>
      <c r="C17" t="str">
        <f>Sheet4!E17</f>
        <v>n./a.</v>
      </c>
      <c r="D17" s="6" t="str">
        <f>Sheet4!N17</f>
        <v>26.11.2020</v>
      </c>
      <c r="E17" s="14">
        <f t="shared" si="0"/>
        <v>44161</v>
      </c>
      <c r="F17" t="str">
        <f>Sheet4!U17</f>
        <v>21.03.2019</v>
      </c>
      <c r="G17" s="15">
        <f t="shared" si="1"/>
        <v>43545</v>
      </c>
      <c r="H17" t="str">
        <f>Sheet4!AO17</f>
        <v>Yes</v>
      </c>
      <c r="I17" t="str">
        <f>Sheet4!AQ17</f>
        <v>2 Ni 37/20 (EP)</v>
      </c>
      <c r="J17" t="str">
        <f>Sheet4!AP17</f>
        <v>Invalid for Germany</v>
      </c>
      <c r="K17" t="str">
        <f>Sheet4!AR17</f>
        <v>17.03.2022</v>
      </c>
      <c r="L17" s="15">
        <f t="shared" si="2"/>
        <v>44637</v>
      </c>
      <c r="M17" t="str">
        <f>Sheet4!AS17</f>
        <v>26.07.2019?</v>
      </c>
      <c r="N17" s="15" t="e">
        <f t="shared" si="3"/>
        <v>#VALUE!</v>
      </c>
      <c r="P17" t="e">
        <f t="shared" si="4"/>
        <v>#VALUE!</v>
      </c>
      <c r="Q17">
        <f t="shared" si="5"/>
        <v>476</v>
      </c>
    </row>
    <row r="18" spans="1:32" x14ac:dyDescent="0.25">
      <c r="A18" t="str">
        <f>Sheet4!A18</f>
        <v>7 O 96/14</v>
      </c>
      <c r="B18" t="str">
        <f>Sheet4!B18</f>
        <v>Mannheim</v>
      </c>
      <c r="C18" t="str">
        <f>Sheet4!E18</f>
        <v>Yes</v>
      </c>
      <c r="D18" s="6" t="str">
        <f>Sheet4!N18</f>
        <v>08.01.2016</v>
      </c>
      <c r="E18" s="14">
        <f t="shared" si="0"/>
        <v>42377</v>
      </c>
      <c r="F18" t="str">
        <f>Sheet4!U18</f>
        <v>22.06.2014</v>
      </c>
      <c r="G18" s="15">
        <f t="shared" si="1"/>
        <v>41812</v>
      </c>
      <c r="H18" t="str">
        <f>Sheet4!AO18</f>
        <v>Yes</v>
      </c>
      <c r="I18" t="str">
        <f>Sheet4!AQ18</f>
        <v>2 Ni 23/16, 2 Ni 38/17 (EP), 2 Ni 10/15 (EP)</v>
      </c>
      <c r="J18" t="str">
        <f>Sheet4!AP18</f>
        <v>-</v>
      </c>
      <c r="K18" t="str">
        <f>Sheet4!AR18</f>
        <v>-</v>
      </c>
      <c r="L18" s="15" t="e">
        <f t="shared" si="2"/>
        <v>#VALUE!</v>
      </c>
      <c r="M18" t="str">
        <f>Sheet4!AS18</f>
        <v>05.06.2015</v>
      </c>
      <c r="N18" s="15">
        <f t="shared" si="3"/>
        <v>42160</v>
      </c>
      <c r="P18" t="e">
        <f t="shared" si="4"/>
        <v>#VALUE!</v>
      </c>
      <c r="Q18" t="e">
        <f t="shared" si="5"/>
        <v>#VALUE!</v>
      </c>
    </row>
    <row r="19" spans="1:32" x14ac:dyDescent="0.25">
      <c r="A19" t="str">
        <f>Sheet4!A19</f>
        <v>7 O 66/15</v>
      </c>
      <c r="B19" t="str">
        <f>Sheet4!B19</f>
        <v>Mannheim</v>
      </c>
      <c r="C19" t="str">
        <f>Sheet4!E19</f>
        <v>Yes</v>
      </c>
      <c r="D19" s="6" t="str">
        <f>Sheet4!N19</f>
        <v>29.01.2016</v>
      </c>
      <c r="E19" s="14">
        <f t="shared" si="0"/>
        <v>42398</v>
      </c>
      <c r="F19" t="str">
        <f>Sheet4!U19</f>
        <v>05.04.2015</v>
      </c>
      <c r="G19" s="15">
        <f t="shared" si="1"/>
        <v>42099</v>
      </c>
      <c r="H19" t="str">
        <f>Sheet4!AO19</f>
        <v>Yes</v>
      </c>
      <c r="I19" t="str">
        <f>Sheet4!AQ19</f>
        <v>5 Ni 30/15 (EP)</v>
      </c>
      <c r="J19" t="str">
        <f>Sheet4!AP19</f>
        <v>-</v>
      </c>
      <c r="K19" t="str">
        <f>Sheet4!AR19</f>
        <v>-</v>
      </c>
      <c r="L19" s="15" t="e">
        <f t="shared" si="2"/>
        <v>#VALUE!</v>
      </c>
      <c r="M19" t="str">
        <f>Sheet4!AS19</f>
        <v>03.07.2015</v>
      </c>
      <c r="N19" s="15">
        <f t="shared" si="3"/>
        <v>42188</v>
      </c>
      <c r="P19" t="e">
        <f t="shared" si="4"/>
        <v>#VALUE!</v>
      </c>
      <c r="Q19" t="e">
        <f t="shared" si="5"/>
        <v>#VALUE!</v>
      </c>
    </row>
    <row r="20" spans="1:32" x14ac:dyDescent="0.25">
      <c r="A20" t="str">
        <f>Sheet4!A20</f>
        <v>7 O 115/16</v>
      </c>
      <c r="B20" t="str">
        <f>Sheet4!B20</f>
        <v>Mannheim</v>
      </c>
      <c r="C20" t="str">
        <f>Sheet4!E20</f>
        <v>Yes</v>
      </c>
      <c r="D20" s="6" t="str">
        <f>Sheet4!N20</f>
        <v>04.09.2019</v>
      </c>
      <c r="E20" s="14">
        <f t="shared" si="0"/>
        <v>43712</v>
      </c>
      <c r="F20" t="str">
        <f>Sheet4!U20</f>
        <v>02.07.2016</v>
      </c>
      <c r="G20" s="15">
        <f t="shared" si="1"/>
        <v>42553</v>
      </c>
      <c r="H20" t="str">
        <f>Sheet4!AO20</f>
        <v>Yes</v>
      </c>
      <c r="I20" t="str">
        <f>Sheet4!AQ20</f>
        <v>6 Ni 70/16 (EP)</v>
      </c>
      <c r="J20" t="str">
        <f>Sheet4!AP20</f>
        <v>Partially invalid for Germany</v>
      </c>
      <c r="K20" t="str">
        <f>Sheet4!AR20</f>
        <v>17.10.2018</v>
      </c>
      <c r="L20" s="15">
        <f t="shared" si="2"/>
        <v>43390</v>
      </c>
      <c r="M20" t="str">
        <f>Sheet4!AS20</f>
        <v>10.11.2016</v>
      </c>
      <c r="N20" s="15">
        <f t="shared" si="3"/>
        <v>42684</v>
      </c>
      <c r="P20">
        <f t="shared" si="4"/>
        <v>706</v>
      </c>
      <c r="Q20">
        <f t="shared" si="5"/>
        <v>-322</v>
      </c>
    </row>
    <row r="21" spans="1:32" x14ac:dyDescent="0.25">
      <c r="A21" t="str">
        <f>Sheet4!A21</f>
        <v>7 O 165/16</v>
      </c>
      <c r="B21" t="str">
        <f>Sheet4!B21</f>
        <v>Mannheim</v>
      </c>
      <c r="C21" t="str">
        <f>Sheet4!E21</f>
        <v>No</v>
      </c>
      <c r="D21" s="6" t="str">
        <f>Sheet4!N21</f>
        <v>13.07.2018</v>
      </c>
      <c r="E21" s="14">
        <f t="shared" si="0"/>
        <v>43294</v>
      </c>
      <c r="F21" t="str">
        <f>Sheet4!U21</f>
        <v>23.09.2016</v>
      </c>
      <c r="G21" s="15">
        <f t="shared" si="1"/>
        <v>42636</v>
      </c>
      <c r="H21" t="str">
        <f>Sheet4!AO21</f>
        <v>Yes</v>
      </c>
      <c r="I21" t="str">
        <f>Sheet4!AQ21</f>
        <v>2 Ni 14/17 (EP)</v>
      </c>
      <c r="J21" t="str">
        <f>Sheet4!AP21</f>
        <v>Partially invalid for Germany</v>
      </c>
      <c r="K21" t="str">
        <f>Sheet4!AR21</f>
        <v>19.09.2019</v>
      </c>
      <c r="L21" s="15">
        <f t="shared" si="2"/>
        <v>43727</v>
      </c>
      <c r="M21" t="str">
        <f>Sheet4!AS21</f>
        <v>10.03.2017?</v>
      </c>
      <c r="N21" s="15" t="e">
        <f t="shared" si="3"/>
        <v>#VALUE!</v>
      </c>
      <c r="P21" t="e">
        <f t="shared" si="4"/>
        <v>#VALUE!</v>
      </c>
      <c r="Q21">
        <f t="shared" si="5"/>
        <v>433</v>
      </c>
    </row>
    <row r="22" spans="1:32" x14ac:dyDescent="0.25">
      <c r="A22" t="str">
        <f>Sheet4!A22</f>
        <v>7 O 19/16</v>
      </c>
      <c r="B22" t="str">
        <f>Sheet4!B22</f>
        <v>Mannheim</v>
      </c>
      <c r="C22" t="str">
        <f>Sheet4!E22</f>
        <v>No</v>
      </c>
      <c r="D22" s="6" t="str">
        <f>Sheet4!N22</f>
        <v>17.11.2016</v>
      </c>
      <c r="E22" s="14">
        <f t="shared" si="0"/>
        <v>42691</v>
      </c>
      <c r="F22" t="str">
        <f>Sheet4!U22</f>
        <v>19.01.2016</v>
      </c>
      <c r="G22" s="15">
        <f t="shared" si="1"/>
        <v>42388</v>
      </c>
      <c r="H22" t="str">
        <f>Sheet4!AO22</f>
        <v>Yes</v>
      </c>
      <c r="I22" t="str">
        <f>Sheet4!AQ22</f>
        <v>2 Ni 10/17 (EP)</v>
      </c>
      <c r="J22" t="str">
        <f>Sheet4!AP22</f>
        <v>Invalid for Germany</v>
      </c>
      <c r="K22" t="str">
        <f>Sheet4!AR22</f>
        <v>25.03.2019</v>
      </c>
      <c r="L22" s="15">
        <f t="shared" si="2"/>
        <v>43549</v>
      </c>
      <c r="M22" t="str">
        <f>Sheet4!AS22</f>
        <v>08.04.2016</v>
      </c>
      <c r="N22" s="15">
        <f t="shared" si="3"/>
        <v>42468</v>
      </c>
      <c r="P22">
        <f t="shared" si="4"/>
        <v>1081</v>
      </c>
      <c r="Q22">
        <f t="shared" si="5"/>
        <v>858</v>
      </c>
    </row>
    <row r="23" spans="1:32" x14ac:dyDescent="0.25">
      <c r="A23" t="str">
        <f>Sheet4!A23</f>
        <v>7 O 209/15</v>
      </c>
      <c r="B23" t="str">
        <f>Sheet4!B23</f>
        <v>Mannheim</v>
      </c>
      <c r="C23" t="str">
        <f>Sheet4!E23</f>
        <v>No</v>
      </c>
      <c r="D23" s="6" t="str">
        <f>Sheet4!N23</f>
        <v>17.11.2016</v>
      </c>
      <c r="E23" s="14">
        <f t="shared" si="0"/>
        <v>42691</v>
      </c>
      <c r="F23" t="str">
        <f>Sheet4!U23</f>
        <v>31.10.2015</v>
      </c>
      <c r="G23" s="15">
        <f t="shared" si="1"/>
        <v>42308</v>
      </c>
      <c r="H23" t="str">
        <f>Sheet4!AO23</f>
        <v>Yes</v>
      </c>
      <c r="I23" t="str">
        <f>Sheet4!AQ23</f>
        <v>6 Ni 39/16 (EP)</v>
      </c>
      <c r="J23" t="str">
        <f>Sheet4!AP23</f>
        <v>Partially invalid for Germany</v>
      </c>
      <c r="K23" t="str">
        <f>Sheet4!AR23</f>
        <v>13.11.2018</v>
      </c>
      <c r="L23" s="15">
        <f t="shared" si="2"/>
        <v>43417</v>
      </c>
      <c r="M23" t="str">
        <f>Sheet4!AS23</f>
        <v>24.03.2016</v>
      </c>
      <c r="N23" s="15">
        <f t="shared" si="3"/>
        <v>42453</v>
      </c>
      <c r="P23">
        <f t="shared" si="4"/>
        <v>964</v>
      </c>
      <c r="Q23">
        <f t="shared" si="5"/>
        <v>726</v>
      </c>
      <c r="AE23" t="s">
        <v>545</v>
      </c>
      <c r="AF23">
        <f>COUNTIFS(C2:C46,"Yes",H2:H46,"Yes")</f>
        <v>25</v>
      </c>
    </row>
    <row r="24" spans="1:32" x14ac:dyDescent="0.25">
      <c r="A24" t="str">
        <f>Sheet4!A24</f>
        <v>7 O 18/17</v>
      </c>
      <c r="B24" t="str">
        <f>Sheet4!B24</f>
        <v>Mannheim</v>
      </c>
      <c r="C24" t="str">
        <f>Sheet4!E24</f>
        <v>No</v>
      </c>
      <c r="D24" s="6" t="str">
        <f>Sheet4!N24</f>
        <v>02.03.2018</v>
      </c>
      <c r="E24" s="14">
        <f t="shared" si="0"/>
        <v>43161</v>
      </c>
      <c r="F24" t="str">
        <f>Sheet4!U24</f>
        <v>29.01.2017</v>
      </c>
      <c r="G24" s="15">
        <f t="shared" si="1"/>
        <v>42764</v>
      </c>
      <c r="H24" t="str">
        <f>Sheet4!AO24</f>
        <v>Yes</v>
      </c>
      <c r="I24" t="str">
        <f>Sheet4!AQ24</f>
        <v>6 Ni 24/17 (EP)</v>
      </c>
      <c r="J24" t="str">
        <f>Sheet4!AP24</f>
        <v>Charges dismissed</v>
      </c>
      <c r="K24" t="str">
        <f>Sheet4!AR24</f>
        <v>02.10.2019</v>
      </c>
      <c r="L24" s="15">
        <f t="shared" si="2"/>
        <v>43740</v>
      </c>
      <c r="M24" t="str">
        <f>Sheet4!AS24</f>
        <v>17.06.2019</v>
      </c>
      <c r="N24" s="15">
        <f t="shared" si="3"/>
        <v>43633</v>
      </c>
      <c r="P24">
        <f t="shared" si="4"/>
        <v>107</v>
      </c>
      <c r="Q24">
        <f t="shared" si="5"/>
        <v>579</v>
      </c>
      <c r="AE24" t="s">
        <v>544</v>
      </c>
      <c r="AF24">
        <f>COUNTIFS(C2:C46,"Yes",H2:H46,"No") + COUNTIFS(C2:C46,"Yes",H2:H46,"?")</f>
        <v>2</v>
      </c>
    </row>
    <row r="25" spans="1:32" x14ac:dyDescent="0.25">
      <c r="A25" t="str">
        <f>Sheet4!A25</f>
        <v>2 O 136/18</v>
      </c>
      <c r="B25" t="str">
        <f>Sheet4!B25</f>
        <v>Mannheim</v>
      </c>
      <c r="C25" t="str">
        <f>Sheet4!E25</f>
        <v>No</v>
      </c>
      <c r="D25" s="6" t="str">
        <f>Sheet4!N25</f>
        <v>21.08.2020</v>
      </c>
      <c r="E25" s="14">
        <f t="shared" si="0"/>
        <v>44064</v>
      </c>
      <c r="F25" t="str">
        <f>Sheet4!U25</f>
        <v>17.10.2018</v>
      </c>
      <c r="G25" s="15">
        <f t="shared" si="1"/>
        <v>43390</v>
      </c>
      <c r="H25" t="str">
        <f>Sheet4!AO25</f>
        <v>Yes</v>
      </c>
      <c r="I25" t="str">
        <f>Sheet4!AQ25</f>
        <v>2 Ni 14/17 (EP)</v>
      </c>
      <c r="J25" t="str">
        <f>Sheet4!AP25</f>
        <v>Partially invalid for Germany</v>
      </c>
      <c r="K25" t="str">
        <f>Sheet4!AR25</f>
        <v>19.09.2019</v>
      </c>
      <c r="L25" s="15">
        <f t="shared" si="2"/>
        <v>43727</v>
      </c>
      <c r="M25" t="str">
        <f>Sheet4!AS25</f>
        <v>10.03.2017?</v>
      </c>
      <c r="N25" s="15" t="e">
        <f t="shared" si="3"/>
        <v>#VALUE!</v>
      </c>
      <c r="P25" t="e">
        <f t="shared" si="4"/>
        <v>#VALUE!</v>
      </c>
      <c r="Q25">
        <f t="shared" si="5"/>
        <v>-337</v>
      </c>
      <c r="AE25" t="s">
        <v>557</v>
      </c>
      <c r="AF25">
        <f>COUNTIFS(C2:C46, "Yes", J2:J46, "Invalid for Germany") + COUNTIFS(C2:C46, "Yes", J2:J46, "Partially invalid for Germany") + COUNTIFS(C2:C46, "Yes", J2:J46, "Fully revoked")</f>
        <v>12</v>
      </c>
    </row>
    <row r="26" spans="1:32" x14ac:dyDescent="0.25">
      <c r="A26" t="str">
        <f>Sheet4!A26</f>
        <v>2 O 131/19</v>
      </c>
      <c r="B26" t="str">
        <f>Sheet4!B26</f>
        <v>Mannheim</v>
      </c>
      <c r="C26" t="str">
        <f>Sheet4!E26</f>
        <v>Yes</v>
      </c>
      <c r="D26" s="6" t="str">
        <f>Sheet4!N26</f>
        <v>02.03.2021</v>
      </c>
      <c r="E26" s="14">
        <f t="shared" si="0"/>
        <v>44257</v>
      </c>
      <c r="F26">
        <f>Sheet4!U26</f>
        <v>0</v>
      </c>
      <c r="G26" s="15" t="e">
        <f t="shared" si="1"/>
        <v>#VALUE!</v>
      </c>
      <c r="H26" t="str">
        <f>Sheet4!AO26</f>
        <v>?</v>
      </c>
      <c r="I26" t="str">
        <f>Sheet4!AQ26</f>
        <v>?</v>
      </c>
      <c r="J26" t="str">
        <f>Sheet4!AP26</f>
        <v>?</v>
      </c>
      <c r="K26" t="str">
        <f>Sheet4!AR26</f>
        <v>?</v>
      </c>
      <c r="L26" s="15" t="e">
        <f t="shared" si="2"/>
        <v>#VALUE!</v>
      </c>
      <c r="M26" t="str">
        <f>Sheet4!AS26</f>
        <v>?</v>
      </c>
      <c r="N26" s="15" t="e">
        <f t="shared" si="3"/>
        <v>#VALUE!</v>
      </c>
      <c r="P26" t="e">
        <f t="shared" si="4"/>
        <v>#VALUE!</v>
      </c>
      <c r="Q26" t="e">
        <f t="shared" si="5"/>
        <v>#VALUE!</v>
      </c>
      <c r="AE26" t="s">
        <v>558</v>
      </c>
      <c r="AF26">
        <f>COUNTIFS(C2:C46, "Yes", J2:J46, "Charges dismissed") + COUNTIFS(C2:C46, "Yes", H2:H46, "Yes", J2:J46, "-")</f>
        <v>13</v>
      </c>
    </row>
    <row r="27" spans="1:32" x14ac:dyDescent="0.25">
      <c r="A27" t="str">
        <f>Sheet4!A27</f>
        <v>2 O 34/19</v>
      </c>
      <c r="B27" t="str">
        <f>Sheet4!B27</f>
        <v>Mannheim</v>
      </c>
      <c r="C27" t="str">
        <f>Sheet4!E27</f>
        <v>Yes</v>
      </c>
      <c r="D27" s="6" t="str">
        <f>Sheet4!N27</f>
        <v>18.08.2020</v>
      </c>
      <c r="E27" s="14">
        <f t="shared" si="0"/>
        <v>44061</v>
      </c>
      <c r="F27" t="str">
        <f>Sheet4!U27</f>
        <v>21.03.2019</v>
      </c>
      <c r="G27" s="15">
        <f t="shared" si="1"/>
        <v>43545</v>
      </c>
      <c r="H27" t="str">
        <f>Sheet4!AO27</f>
        <v>Yes</v>
      </c>
      <c r="I27" t="str">
        <f>Sheet4!AQ27</f>
        <v>5 Ni 24/19 (EP)</v>
      </c>
      <c r="J27" t="str">
        <f>Sheet4!AP27</f>
        <v>-</v>
      </c>
      <c r="K27" t="str">
        <f>Sheet4!AR27</f>
        <v>-</v>
      </c>
      <c r="L27" s="15" t="e">
        <f t="shared" si="2"/>
        <v>#VALUE!</v>
      </c>
      <c r="M27" t="str">
        <f>Sheet4!AS27</f>
        <v>04.12.2019</v>
      </c>
      <c r="N27" s="15">
        <f t="shared" si="3"/>
        <v>43803</v>
      </c>
      <c r="P27" t="e">
        <f t="shared" si="4"/>
        <v>#VALUE!</v>
      </c>
      <c r="Q27" t="e">
        <f t="shared" si="5"/>
        <v>#VALUE!</v>
      </c>
      <c r="T27" t="s">
        <v>31</v>
      </c>
      <c r="U27" t="s">
        <v>25</v>
      </c>
      <c r="W27" t="s">
        <v>247</v>
      </c>
    </row>
    <row r="28" spans="1:32" x14ac:dyDescent="0.25">
      <c r="A28" t="str">
        <f>Sheet4!A28</f>
        <v>7 O 15350/19</v>
      </c>
      <c r="B28" t="str">
        <f>Sheet4!B28</f>
        <v>Munich</v>
      </c>
      <c r="C28" t="str">
        <f>Sheet4!E28</f>
        <v>Yes</v>
      </c>
      <c r="D28" s="6" t="str">
        <f>Sheet4!N28</f>
        <v>19.08.2021</v>
      </c>
      <c r="E28" s="14">
        <f t="shared" si="0"/>
        <v>44427</v>
      </c>
      <c r="F28" t="str">
        <f>Sheet4!U28</f>
        <v>10.10.2019</v>
      </c>
      <c r="G28" s="15">
        <f t="shared" si="1"/>
        <v>43748</v>
      </c>
      <c r="H28" t="str">
        <f>Sheet4!AO28</f>
        <v>Yes</v>
      </c>
      <c r="I28" t="str">
        <f>Sheet4!AQ28</f>
        <v>4 Ni 11/21 (EP)</v>
      </c>
      <c r="J28" t="str">
        <f>Sheet4!AP28</f>
        <v>Invalid for Germany</v>
      </c>
      <c r="K28" t="str">
        <f>Sheet4!AR28</f>
        <v>02.08.2022</v>
      </c>
      <c r="L28" s="15">
        <f t="shared" si="2"/>
        <v>44775</v>
      </c>
      <c r="M28" t="str">
        <f>Sheet4!AS28</f>
        <v>10.09.2020</v>
      </c>
      <c r="N28" s="15">
        <f t="shared" si="3"/>
        <v>44084</v>
      </c>
      <c r="P28">
        <f t="shared" si="4"/>
        <v>691</v>
      </c>
      <c r="Q28">
        <f t="shared" si="5"/>
        <v>348</v>
      </c>
      <c r="S28" t="s">
        <v>500</v>
      </c>
      <c r="T28">
        <f>COUNTIFS($C$2:$C$46, $T$27, $H$2:$H$46, T$27)</f>
        <v>25</v>
      </c>
      <c r="U28">
        <f>COUNTIFS($C$2:$C$46, $T$27, $H$2:$H$46, U$27)</f>
        <v>1</v>
      </c>
      <c r="W28">
        <f t="shared" ref="W28" si="7">COUNTIFS($C$2:$C$46, $T$27, $H$2:$H$46, W$27)</f>
        <v>1</v>
      </c>
    </row>
    <row r="29" spans="1:32" x14ac:dyDescent="0.25">
      <c r="A29" t="str">
        <f>Sheet4!A29</f>
        <v>2 O 75/21</v>
      </c>
      <c r="B29" t="str">
        <f>Sheet4!B29</f>
        <v>Mannheim</v>
      </c>
      <c r="C29" t="str">
        <f>Sheet4!E29</f>
        <v>Yes</v>
      </c>
      <c r="D29" s="6" t="str">
        <f>Sheet4!N29</f>
        <v>05.07.2022</v>
      </c>
      <c r="E29" s="14">
        <f t="shared" si="0"/>
        <v>44747</v>
      </c>
      <c r="F29" t="str">
        <f>Sheet4!U29</f>
        <v>08.07.2021</v>
      </c>
      <c r="G29" s="15">
        <f t="shared" si="1"/>
        <v>44385</v>
      </c>
      <c r="H29" t="str">
        <f>Sheet4!AO29</f>
        <v>Yes</v>
      </c>
      <c r="I29" t="str">
        <f>Sheet4!AQ29</f>
        <v>5 Ni 60/21 (EP)</v>
      </c>
      <c r="J29" t="str">
        <f>Sheet4!AP29</f>
        <v>-</v>
      </c>
      <c r="K29" t="str">
        <f>Sheet4!AR29</f>
        <v>-</v>
      </c>
      <c r="L29" s="15" t="e">
        <f t="shared" si="2"/>
        <v>#VALUE!</v>
      </c>
      <c r="M29" t="str">
        <f>Sheet4!AS29</f>
        <v>06.12.2021</v>
      </c>
      <c r="N29" s="15">
        <f t="shared" si="3"/>
        <v>44536</v>
      </c>
      <c r="P29" t="e">
        <f t="shared" si="4"/>
        <v>#VALUE!</v>
      </c>
      <c r="Q29" t="e">
        <f t="shared" si="5"/>
        <v>#VALUE!</v>
      </c>
      <c r="S29" t="s">
        <v>532</v>
      </c>
      <c r="T29">
        <f>COUNTIFS($C$2:$C$46, $U$27, $H$2:$H$46, T$27)</f>
        <v>16</v>
      </c>
      <c r="U29">
        <f>COUNTIFS($C$2:$C$46, $U$27, $H$2:$H$46, U$27)</f>
        <v>0</v>
      </c>
      <c r="W29">
        <f>COUNTIFS($C$2:$C$46, $U$27, $H$2:$H$46, W$27)</f>
        <v>1</v>
      </c>
    </row>
    <row r="30" spans="1:32" x14ac:dyDescent="0.25">
      <c r="A30" t="str">
        <f>Sheet4!A30</f>
        <v>7 O 28/16</v>
      </c>
      <c r="B30" t="str">
        <f>Sheet4!B30</f>
        <v>Mannheim</v>
      </c>
      <c r="C30" t="str">
        <f>Sheet4!E30</f>
        <v>No</v>
      </c>
      <c r="D30" s="6" t="str">
        <f>Sheet4!N30</f>
        <v>10.11.2017</v>
      </c>
      <c r="E30" s="14">
        <f t="shared" si="0"/>
        <v>43049</v>
      </c>
      <c r="F30" t="str">
        <f>Sheet4!U30</f>
        <v>03.02.2016</v>
      </c>
      <c r="G30" s="15">
        <f t="shared" si="1"/>
        <v>42403</v>
      </c>
      <c r="H30" t="str">
        <f>Sheet4!AO30</f>
        <v>Yes</v>
      </c>
      <c r="I30" t="str">
        <f>Sheet4!AQ30</f>
        <v>6 Ni 50/16 (EP)</v>
      </c>
      <c r="J30" t="str">
        <f>Sheet4!AP30</f>
        <v>Invalid for Germany</v>
      </c>
      <c r="K30" t="str">
        <f>Sheet4!AR30</f>
        <v>09.01.2020</v>
      </c>
      <c r="L30" s="15">
        <f t="shared" si="2"/>
        <v>43839</v>
      </c>
      <c r="M30" t="str">
        <f>Sheet4!AS30</f>
        <v>04.05.2016</v>
      </c>
      <c r="N30" s="15">
        <f t="shared" si="3"/>
        <v>42494</v>
      </c>
      <c r="P30">
        <f t="shared" si="4"/>
        <v>1345</v>
      </c>
      <c r="Q30">
        <f t="shared" si="5"/>
        <v>790</v>
      </c>
      <c r="S30" t="s">
        <v>344</v>
      </c>
      <c r="T30">
        <f>COUNTIFS($C$2:$C$46, "n./a.", $H$2:$H$46, T$27)</f>
        <v>1</v>
      </c>
      <c r="U30">
        <f t="shared" ref="U30:W30" si="8">COUNTIFS($C$2:$C$46, "n./a.", $H$2:$H$46, U$27)</f>
        <v>0</v>
      </c>
      <c r="W30">
        <f t="shared" si="8"/>
        <v>0</v>
      </c>
    </row>
    <row r="31" spans="1:32" x14ac:dyDescent="0.25">
      <c r="A31" t="str">
        <f>Sheet4!A31</f>
        <v>2 O 106/14</v>
      </c>
      <c r="B31" t="str">
        <f>Sheet4!B31</f>
        <v>Mannheim</v>
      </c>
      <c r="C31" t="str">
        <f>Sheet4!E31</f>
        <v>Yes</v>
      </c>
      <c r="D31" s="6" t="str">
        <f>Sheet4!N31</f>
        <v>27.11.2015</v>
      </c>
      <c r="E31" s="14">
        <f t="shared" si="0"/>
        <v>42335</v>
      </c>
      <c r="F31" t="str">
        <f>Sheet4!U31</f>
        <v>15.06.2014</v>
      </c>
      <c r="G31" s="15">
        <f t="shared" si="1"/>
        <v>41805</v>
      </c>
      <c r="H31" t="str">
        <f>Sheet4!AO31</f>
        <v>Yes</v>
      </c>
      <c r="I31" t="str">
        <f>Sheet4!AQ31</f>
        <v>4 Ni 6/15 (EP), 6 Ni 7/16 (EP), 6 Ni 63/16 (EP), 4 Ni 33/14 (EP)</v>
      </c>
      <c r="J31" t="str">
        <f>Sheet4!AP31</f>
        <v>-</v>
      </c>
      <c r="K31" t="str">
        <f>Sheet4!AR31</f>
        <v>-</v>
      </c>
      <c r="L31" s="15" t="e">
        <f t="shared" si="2"/>
        <v>#VALUE!</v>
      </c>
      <c r="M31" t="str">
        <f>Sheet4!AS31</f>
        <v>06.11.2014</v>
      </c>
      <c r="N31" s="15">
        <f t="shared" si="3"/>
        <v>41949</v>
      </c>
      <c r="P31" t="e">
        <f t="shared" si="4"/>
        <v>#VALUE!</v>
      </c>
      <c r="Q31" t="e">
        <f t="shared" si="5"/>
        <v>#VALUE!</v>
      </c>
      <c r="T31">
        <f>SUM(T28:T30)</f>
        <v>42</v>
      </c>
      <c r="U31">
        <f t="shared" ref="U31:W31" si="9">SUM(U28:U30)</f>
        <v>1</v>
      </c>
      <c r="W31">
        <f t="shared" si="9"/>
        <v>2</v>
      </c>
      <c r="X31">
        <f>SUM(T31:W31)</f>
        <v>45</v>
      </c>
    </row>
    <row r="32" spans="1:32" x14ac:dyDescent="0.25">
      <c r="A32" t="str">
        <f>Sheet4!A32</f>
        <v>21 O 11522/21</v>
      </c>
      <c r="B32" t="str">
        <f>Sheet4!B32</f>
        <v>Munich</v>
      </c>
      <c r="C32" t="str">
        <f>Sheet4!E32</f>
        <v>Yes</v>
      </c>
      <c r="D32" s="6" t="str">
        <f>Sheet4!N32</f>
        <v>05.08.2022</v>
      </c>
      <c r="E32" s="14">
        <f t="shared" si="0"/>
        <v>44778</v>
      </c>
      <c r="F32">
        <f>Sheet4!U32</f>
        <v>0</v>
      </c>
      <c r="G32" s="15" t="e">
        <f t="shared" si="1"/>
        <v>#VALUE!</v>
      </c>
      <c r="H32" t="str">
        <f>Sheet4!AO32</f>
        <v>Yes</v>
      </c>
      <c r="I32" t="str">
        <f>Sheet4!AQ32</f>
        <v>4 Ni 33/22 (EP)</v>
      </c>
      <c r="J32" t="str">
        <f>Sheet4!AP32</f>
        <v>-</v>
      </c>
      <c r="K32" t="str">
        <f>Sheet4!AR32</f>
        <v>-</v>
      </c>
      <c r="L32" s="15" t="e">
        <f t="shared" si="2"/>
        <v>#VALUE!</v>
      </c>
      <c r="M32" t="str">
        <f>Sheet4!AS32</f>
        <v>19.04.2022</v>
      </c>
      <c r="N32" s="15">
        <f t="shared" si="3"/>
        <v>44670</v>
      </c>
      <c r="P32" t="e">
        <f t="shared" si="4"/>
        <v>#VALUE!</v>
      </c>
      <c r="Q32" t="e">
        <f t="shared" si="5"/>
        <v>#VALUE!</v>
      </c>
    </row>
    <row r="33" spans="1:17" x14ac:dyDescent="0.25">
      <c r="A33" t="str">
        <f>Sheet4!A33</f>
        <v>21 O 1910/22</v>
      </c>
      <c r="B33" t="str">
        <f>Sheet4!B33</f>
        <v>Munich</v>
      </c>
      <c r="C33" t="str">
        <f>Sheet4!E33</f>
        <v>Yes</v>
      </c>
      <c r="D33" s="6" t="str">
        <f>Sheet4!N33</f>
        <v>19.04.2023</v>
      </c>
      <c r="E33" s="14">
        <f t="shared" si="0"/>
        <v>45035</v>
      </c>
      <c r="F33">
        <f>Sheet4!U33</f>
        <v>0</v>
      </c>
      <c r="G33" s="15" t="e">
        <f t="shared" si="1"/>
        <v>#VALUE!</v>
      </c>
      <c r="H33" t="str">
        <f>Sheet4!AO33</f>
        <v>Yes</v>
      </c>
      <c r="I33" t="str">
        <f>Sheet4!AQ33</f>
        <v>4 Ni 9/21 (EP)</v>
      </c>
      <c r="J33" t="str">
        <f>Sheet4!AP33</f>
        <v>Charges dismissed</v>
      </c>
      <c r="K33" t="str">
        <f>Sheet4!AR33</f>
        <v>06.12.2021</v>
      </c>
      <c r="L33" s="15">
        <f t="shared" si="2"/>
        <v>44536</v>
      </c>
      <c r="M33" t="str">
        <f>Sheet4!AS33</f>
        <v>08.05.2020</v>
      </c>
      <c r="N33" s="15">
        <f t="shared" si="3"/>
        <v>43959</v>
      </c>
      <c r="P33">
        <f t="shared" si="4"/>
        <v>577</v>
      </c>
      <c r="Q33">
        <f t="shared" si="5"/>
        <v>-499</v>
      </c>
    </row>
    <row r="34" spans="1:17" x14ac:dyDescent="0.25">
      <c r="A34" t="str">
        <f>Sheet4!A34</f>
        <v>21 O 4140/21</v>
      </c>
      <c r="B34" t="str">
        <f>Sheet4!B34</f>
        <v>Munich</v>
      </c>
      <c r="C34" t="str">
        <f>Sheet4!E34</f>
        <v>Yes</v>
      </c>
      <c r="D34" s="6" t="str">
        <f>Sheet4!N34</f>
        <v>17.02.2023</v>
      </c>
      <c r="E34" s="14">
        <f t="shared" si="0"/>
        <v>44974</v>
      </c>
      <c r="F34">
        <f>Sheet4!U34</f>
        <v>0</v>
      </c>
      <c r="G34" s="15" t="e">
        <f t="shared" si="1"/>
        <v>#VALUE!</v>
      </c>
      <c r="H34" t="str">
        <f>Sheet4!AO34</f>
        <v>Yes</v>
      </c>
      <c r="I34" t="str">
        <f>Sheet4!AQ34</f>
        <v>2 Ni 7/21 (EP)</v>
      </c>
      <c r="J34" t="str">
        <f>Sheet4!AP34</f>
        <v>Partially invalid for Germany</v>
      </c>
      <c r="K34" t="str">
        <f>Sheet4!AR34</f>
        <v>27.01.2023</v>
      </c>
      <c r="L34" s="15">
        <f t="shared" si="2"/>
        <v>44953</v>
      </c>
      <c r="M34" t="str">
        <f>Sheet4!AS34</f>
        <v>08.04.2019</v>
      </c>
      <c r="N34" s="15">
        <f t="shared" si="3"/>
        <v>43563</v>
      </c>
      <c r="P34">
        <f t="shared" si="4"/>
        <v>1390</v>
      </c>
      <c r="Q34">
        <f t="shared" si="5"/>
        <v>-21</v>
      </c>
    </row>
    <row r="35" spans="1:17" x14ac:dyDescent="0.25">
      <c r="A35" t="str">
        <f>Sheet4!A35</f>
        <v>7 O 8818/19</v>
      </c>
      <c r="B35" t="str">
        <f>Sheet4!B35</f>
        <v>Munich</v>
      </c>
      <c r="C35" t="str">
        <f>Sheet4!E35</f>
        <v>Yes</v>
      </c>
      <c r="D35" s="6" t="str">
        <f>Sheet4!N35</f>
        <v>10.09.2020</v>
      </c>
      <c r="E35" s="14">
        <f t="shared" si="0"/>
        <v>44084</v>
      </c>
      <c r="F35" t="str">
        <f>Sheet4!U35</f>
        <v>28.06.2019</v>
      </c>
      <c r="G35" s="15">
        <f t="shared" si="1"/>
        <v>43644</v>
      </c>
      <c r="H35" t="str">
        <f>Sheet4!AO35</f>
        <v>Yes</v>
      </c>
      <c r="I35" t="str">
        <f>Sheet4!AQ35</f>
        <v>6 Ni 2/20 (EP), 8 Ni 12/23 (EP), 4 Ni 7/22 (EP)</v>
      </c>
      <c r="J35" t="str">
        <f>Sheet4!AP35</f>
        <v>-</v>
      </c>
      <c r="K35" t="str">
        <f>Sheet4!AR35</f>
        <v>-</v>
      </c>
      <c r="L35" s="15" t="e">
        <f t="shared" si="2"/>
        <v>#VALUE!</v>
      </c>
      <c r="M35" t="str">
        <f>Sheet4!AS35</f>
        <v>10.02.2020, 09.02.2020</v>
      </c>
      <c r="N35" s="15">
        <f t="shared" si="3"/>
        <v>43871</v>
      </c>
      <c r="P35" t="e">
        <f t="shared" si="4"/>
        <v>#VALUE!</v>
      </c>
      <c r="Q35" t="e">
        <f t="shared" si="5"/>
        <v>#VALUE!</v>
      </c>
    </row>
    <row r="36" spans="1:17" x14ac:dyDescent="0.25">
      <c r="A36" t="str">
        <f>Sheet4!A36</f>
        <v>4a O 27/16</v>
      </c>
      <c r="B36" t="str">
        <f>Sheet4!B36</f>
        <v>Duesseldorf</v>
      </c>
      <c r="C36" t="str">
        <f>Sheet4!E36</f>
        <v>No</v>
      </c>
      <c r="D36" s="6" t="str">
        <f>Sheet4!N36</f>
        <v>13.07.2017</v>
      </c>
      <c r="E36" s="14">
        <f t="shared" si="0"/>
        <v>42929</v>
      </c>
      <c r="F36" t="str">
        <f>Sheet4!U36</f>
        <v>18.03.2016</v>
      </c>
      <c r="G36" s="15">
        <f t="shared" si="1"/>
        <v>42447</v>
      </c>
      <c r="H36" t="str">
        <f>Sheet4!AO36</f>
        <v>Yes</v>
      </c>
      <c r="I36" t="str">
        <f>Sheet4!AQ36</f>
        <v>6 Ni 10/15 (EP)</v>
      </c>
      <c r="J36" t="str">
        <f>Sheet4!AP36</f>
        <v>Partially invalid for Germany</v>
      </c>
      <c r="K36" t="str">
        <f>Sheet4!AR36</f>
        <v>06.10.2017</v>
      </c>
      <c r="L36" s="15">
        <f t="shared" si="2"/>
        <v>43014</v>
      </c>
      <c r="M36" t="str">
        <f>Sheet4!AS36</f>
        <v>13.03.2015</v>
      </c>
      <c r="N36" s="15">
        <f t="shared" si="3"/>
        <v>42076</v>
      </c>
      <c r="P36">
        <f t="shared" si="4"/>
        <v>938</v>
      </c>
      <c r="Q36">
        <f t="shared" si="5"/>
        <v>85</v>
      </c>
    </row>
    <row r="37" spans="1:17" x14ac:dyDescent="0.25">
      <c r="A37" t="str">
        <f>Sheet4!A37</f>
        <v>4a O 154/15</v>
      </c>
      <c r="B37" t="str">
        <f>Sheet4!B37</f>
        <v>Duesseldorf</v>
      </c>
      <c r="C37" t="str">
        <f>Sheet4!E37</f>
        <v>No</v>
      </c>
      <c r="D37" s="6" t="str">
        <f>Sheet4!N37</f>
        <v>13.07.2017</v>
      </c>
      <c r="E37" s="14">
        <f t="shared" si="0"/>
        <v>42929</v>
      </c>
      <c r="F37" t="str">
        <f>Sheet4!U37</f>
        <v>06.11.2015</v>
      </c>
      <c r="G37" s="15">
        <f t="shared" si="1"/>
        <v>42314</v>
      </c>
      <c r="H37" t="str">
        <f>Sheet4!AO37</f>
        <v>Yes</v>
      </c>
      <c r="I37" t="str">
        <f>Sheet4!AQ37</f>
        <v>6 Ni 10/15 (EP)</v>
      </c>
      <c r="J37" t="str">
        <f>Sheet4!AP37</f>
        <v>Partially invalid for Germany</v>
      </c>
      <c r="K37" t="str">
        <f>Sheet4!AR37</f>
        <v>06.10.2017</v>
      </c>
      <c r="L37" s="15">
        <f t="shared" si="2"/>
        <v>43014</v>
      </c>
      <c r="M37" t="str">
        <f>Sheet4!AS37</f>
        <v>13.03.2015</v>
      </c>
      <c r="N37" s="15">
        <f t="shared" si="3"/>
        <v>42076</v>
      </c>
      <c r="P37">
        <f t="shared" si="4"/>
        <v>938</v>
      </c>
      <c r="Q37">
        <f t="shared" si="5"/>
        <v>85</v>
      </c>
    </row>
    <row r="38" spans="1:17" x14ac:dyDescent="0.25">
      <c r="A38" s="12" t="str">
        <f>Sheet4!A38</f>
        <v>14d O 13/17</v>
      </c>
      <c r="B38" t="str">
        <f>Sheet4!B38</f>
        <v>Duesseldorf</v>
      </c>
      <c r="C38" t="str">
        <f>Sheet4!E38</f>
        <v>No</v>
      </c>
      <c r="D38" s="6" t="str">
        <f>Sheet4!N38</f>
        <v>09.11.2017</v>
      </c>
      <c r="E38" s="14">
        <f t="shared" si="0"/>
        <v>43048</v>
      </c>
      <c r="F38" t="str">
        <f>Sheet4!U38</f>
        <v>07.09.2015</v>
      </c>
      <c r="G38" s="15">
        <f t="shared" si="1"/>
        <v>42254</v>
      </c>
      <c r="H38" t="str">
        <f>Sheet4!AO38</f>
        <v>?</v>
      </c>
      <c r="I38" t="str">
        <f>Sheet4!AQ38</f>
        <v>?</v>
      </c>
      <c r="J38" t="str">
        <f>Sheet4!AP38</f>
        <v>?</v>
      </c>
      <c r="K38" t="str">
        <f>Sheet4!AR38</f>
        <v>?</v>
      </c>
      <c r="L38" s="15" t="e">
        <f t="shared" si="2"/>
        <v>#VALUE!</v>
      </c>
      <c r="M38" t="str">
        <f>Sheet4!AS38</f>
        <v>?</v>
      </c>
      <c r="N38" s="15" t="e">
        <f t="shared" si="3"/>
        <v>#VALUE!</v>
      </c>
      <c r="P38" t="e">
        <f t="shared" si="4"/>
        <v>#VALUE!</v>
      </c>
      <c r="Q38" t="e">
        <f t="shared" si="5"/>
        <v>#VALUE!</v>
      </c>
    </row>
    <row r="39" spans="1:17" x14ac:dyDescent="0.25">
      <c r="A39" s="12" t="str">
        <f>Sheet4!A39</f>
        <v>7 O 38/14</v>
      </c>
      <c r="B39" t="str">
        <f>Sheet4!B39</f>
        <v>Mannheim</v>
      </c>
      <c r="C39" t="str">
        <f>Sheet4!E39</f>
        <v>No</v>
      </c>
      <c r="D39" s="6" t="str">
        <f>Sheet4!N39</f>
        <v>26.02.2016</v>
      </c>
      <c r="E39" s="14">
        <f t="shared" si="0"/>
        <v>42426</v>
      </c>
      <c r="F39" t="str">
        <f>Sheet4!U39</f>
        <v>21.03.2014</v>
      </c>
      <c r="G39" s="15">
        <f t="shared" si="1"/>
        <v>41719</v>
      </c>
      <c r="H39" t="str">
        <f>Sheet4!AO39</f>
        <v>Yes</v>
      </c>
      <c r="I39" t="str">
        <f>Sheet4!AQ39</f>
        <v>19 W (pat) 69/13</v>
      </c>
      <c r="J39" t="str">
        <f>Sheet4!AP39</f>
        <v>Fully revoked</v>
      </c>
      <c r="K39" t="str">
        <f>Sheet4!AR39</f>
        <v>12.04.2016</v>
      </c>
      <c r="L39" s="15">
        <f t="shared" si="2"/>
        <v>42472</v>
      </c>
      <c r="M39" t="str">
        <f>Sheet4!AS39</f>
        <v>21.11.2013</v>
      </c>
      <c r="N39" s="15">
        <f t="shared" si="3"/>
        <v>41599</v>
      </c>
      <c r="P39">
        <f t="shared" si="4"/>
        <v>873</v>
      </c>
      <c r="Q39">
        <f t="shared" si="5"/>
        <v>46</v>
      </c>
    </row>
    <row r="40" spans="1:17" x14ac:dyDescent="0.25">
      <c r="A40" t="str">
        <f>Sheet4!A40</f>
        <v>7 O 24/14</v>
      </c>
      <c r="B40" t="str">
        <f>Sheet4!B40</f>
        <v>Mannheim</v>
      </c>
      <c r="C40" t="str">
        <f>Sheet4!E40</f>
        <v>Yes</v>
      </c>
      <c r="D40" s="6" t="s">
        <v>509</v>
      </c>
      <c r="E40" s="14">
        <f t="shared" si="0"/>
        <v>42433</v>
      </c>
      <c r="F40" t="str">
        <f>Sheet4!U40</f>
        <v>26.02.2014</v>
      </c>
      <c r="G40" s="15">
        <f t="shared" si="1"/>
        <v>41696</v>
      </c>
      <c r="H40" t="str">
        <f>Sheet4!AO40</f>
        <v>Yes</v>
      </c>
      <c r="I40" t="str">
        <f>Sheet4!AQ40</f>
        <v>2 Ni 5/16 (EP)</v>
      </c>
      <c r="J40" t="str">
        <f>Sheet4!AP40</f>
        <v>Invalid for Germany</v>
      </c>
      <c r="K40" t="str">
        <f>Sheet4!AR40</f>
        <v>02.02.2017</v>
      </c>
      <c r="L40" s="15">
        <f t="shared" si="2"/>
        <v>42768</v>
      </c>
      <c r="M40" t="str">
        <f>Sheet4!AS40</f>
        <v>23.07.2014</v>
      </c>
      <c r="N40" s="15">
        <f t="shared" si="3"/>
        <v>41843</v>
      </c>
      <c r="P40">
        <f t="shared" si="4"/>
        <v>925</v>
      </c>
      <c r="Q40">
        <f t="shared" si="5"/>
        <v>335</v>
      </c>
    </row>
    <row r="41" spans="1:17" x14ac:dyDescent="0.25">
      <c r="A41" t="str">
        <f>Sheet4!A41</f>
        <v>7 O 26/14</v>
      </c>
      <c r="B41" t="str">
        <f>Sheet4!B41</f>
        <v>Mannheim</v>
      </c>
      <c r="C41" t="str">
        <f>Sheet4!E41</f>
        <v>Yes</v>
      </c>
      <c r="D41" s="6" t="s">
        <v>510</v>
      </c>
      <c r="E41" s="14">
        <f t="shared" si="0"/>
        <v>42440</v>
      </c>
      <c r="F41" t="str">
        <f>Sheet4!U41</f>
        <v>01.03.2014</v>
      </c>
      <c r="G41" s="15">
        <f t="shared" si="1"/>
        <v>41699</v>
      </c>
      <c r="H41" t="str">
        <f>Sheet4!AO41</f>
        <v>Yes</v>
      </c>
      <c r="I41" t="str">
        <f>Sheet4!AQ41</f>
        <v>2 Ni 5/16 (EP)</v>
      </c>
      <c r="J41" t="str">
        <f>Sheet4!AP41</f>
        <v>Invalid for Germany</v>
      </c>
      <c r="K41" t="str">
        <f>Sheet4!AR41</f>
        <v>02.02.2017</v>
      </c>
      <c r="L41" s="15">
        <f t="shared" si="2"/>
        <v>42768</v>
      </c>
      <c r="M41" t="str">
        <f>Sheet4!AS41</f>
        <v>23.07.2014</v>
      </c>
      <c r="N41" s="15">
        <f t="shared" si="3"/>
        <v>41843</v>
      </c>
      <c r="P41">
        <f t="shared" si="4"/>
        <v>925</v>
      </c>
      <c r="Q41">
        <f t="shared" si="5"/>
        <v>328</v>
      </c>
    </row>
    <row r="42" spans="1:17" x14ac:dyDescent="0.25">
      <c r="A42" t="str">
        <f>Sheet4!A42</f>
        <v>7 O 43/16</v>
      </c>
      <c r="B42" t="str">
        <f>Sheet4!B42</f>
        <v>Mannheim</v>
      </c>
      <c r="C42" t="str">
        <f>Sheet4!E42</f>
        <v>Yes</v>
      </c>
      <c r="D42" s="6" t="str">
        <f>Sheet4!N42</f>
        <v>25.11.2016</v>
      </c>
      <c r="E42" s="14">
        <f t="shared" si="0"/>
        <v>42699</v>
      </c>
      <c r="F42" t="str">
        <f>Sheet4!U42</f>
        <v>28.02.2016</v>
      </c>
      <c r="G42" s="15">
        <f t="shared" si="1"/>
        <v>42428</v>
      </c>
      <c r="H42" t="str">
        <f>Sheet4!AO42</f>
        <v>Yes</v>
      </c>
      <c r="I42" t="str">
        <f>Sheet4!AQ42</f>
        <v>2 Ni 10/17 (EP)</v>
      </c>
      <c r="J42" t="str">
        <f>Sheet4!AP42</f>
        <v>Invalid for Germany</v>
      </c>
      <c r="K42" t="str">
        <f>Sheet4!AR42</f>
        <v>25.03.2019</v>
      </c>
      <c r="L42" s="15">
        <f t="shared" si="2"/>
        <v>43549</v>
      </c>
      <c r="M42" t="str">
        <f>Sheet4!AS42</f>
        <v>08.04.2016</v>
      </c>
      <c r="N42" s="15">
        <f t="shared" si="3"/>
        <v>42468</v>
      </c>
      <c r="P42">
        <f t="shared" si="4"/>
        <v>1081</v>
      </c>
      <c r="Q42">
        <f t="shared" si="5"/>
        <v>850</v>
      </c>
    </row>
    <row r="43" spans="1:17" x14ac:dyDescent="0.25">
      <c r="A43" t="str">
        <f>Sheet4!A43</f>
        <v>7 O 44/16</v>
      </c>
      <c r="B43" t="str">
        <f>Sheet4!B43</f>
        <v>Mannheim</v>
      </c>
      <c r="C43" t="str">
        <f>Sheet4!E43</f>
        <v>Yes</v>
      </c>
      <c r="D43" s="6" t="str">
        <f>Sheet4!N43</f>
        <v>25.11.2016</v>
      </c>
      <c r="E43" s="14">
        <f t="shared" si="0"/>
        <v>42699</v>
      </c>
      <c r="F43" t="str">
        <f>Sheet4!U43</f>
        <v>01.03.2016</v>
      </c>
      <c r="G43" s="15">
        <f t="shared" si="1"/>
        <v>42430</v>
      </c>
      <c r="H43" t="str">
        <f>Sheet4!AO43</f>
        <v>Yes</v>
      </c>
      <c r="I43" t="str">
        <f>Sheet4!AQ43</f>
        <v>5 Ni 38/16 (EP)</v>
      </c>
      <c r="J43" t="str">
        <f>Sheet4!AP43</f>
        <v>Partially invalid for Germany</v>
      </c>
      <c r="K43" t="str">
        <f>Sheet4!AR43</f>
        <v>26.06.2019</v>
      </c>
      <c r="L43" s="15">
        <f t="shared" si="2"/>
        <v>43642</v>
      </c>
      <c r="M43" t="str">
        <f>Sheet4!AS43</f>
        <v>12.05.2016</v>
      </c>
      <c r="N43" s="15">
        <f t="shared" si="3"/>
        <v>42502</v>
      </c>
      <c r="P43">
        <f t="shared" si="4"/>
        <v>1140</v>
      </c>
      <c r="Q43">
        <f t="shared" si="5"/>
        <v>943</v>
      </c>
    </row>
    <row r="44" spans="1:17" x14ac:dyDescent="0.25">
      <c r="A44" t="str">
        <f>Sheet4!A44</f>
        <v>7 O 212/15</v>
      </c>
      <c r="B44" t="str">
        <f>Sheet4!B44</f>
        <v>Mannheim</v>
      </c>
      <c r="C44" t="str">
        <f>Sheet4!E44</f>
        <v>Yes</v>
      </c>
      <c r="D44" s="6" t="str">
        <f>Sheet4!N44</f>
        <v>27.01.2017</v>
      </c>
      <c r="E44" s="14">
        <f t="shared" si="0"/>
        <v>42762</v>
      </c>
      <c r="F44" t="str">
        <f>Sheet4!U44</f>
        <v>05.11.2015</v>
      </c>
      <c r="G44" s="15">
        <f t="shared" si="1"/>
        <v>42313</v>
      </c>
      <c r="H44" t="str">
        <f>Sheet4!AO44</f>
        <v>Yes</v>
      </c>
      <c r="I44" t="str">
        <f>Sheet4!AQ44</f>
        <v>6 Ni 39/16 (EP)</v>
      </c>
      <c r="J44" t="str">
        <f>Sheet4!AP44</f>
        <v>Partially invalid for Germany</v>
      </c>
      <c r="K44" t="str">
        <f>Sheet4!AR44</f>
        <v>13.11.2018</v>
      </c>
      <c r="L44" s="15">
        <f t="shared" si="2"/>
        <v>43417</v>
      </c>
      <c r="M44" t="str">
        <f>Sheet4!AS44</f>
        <v>24.03.2016</v>
      </c>
      <c r="N44" s="15">
        <f t="shared" si="3"/>
        <v>42453</v>
      </c>
      <c r="P44">
        <f t="shared" si="4"/>
        <v>964</v>
      </c>
      <c r="Q44">
        <f t="shared" si="5"/>
        <v>655</v>
      </c>
    </row>
    <row r="45" spans="1:17" x14ac:dyDescent="0.25">
      <c r="A45" t="str">
        <f>Sheet4!A45</f>
        <v>7 O 31/16</v>
      </c>
      <c r="B45" t="str">
        <f>Sheet4!B45</f>
        <v>Mannheim</v>
      </c>
      <c r="C45" t="str">
        <f>Sheet4!E45</f>
        <v>No</v>
      </c>
      <c r="D45" s="6" t="str">
        <f>Sheet4!N45</f>
        <v>24.02.2017</v>
      </c>
      <c r="E45" s="14">
        <f t="shared" si="0"/>
        <v>42790</v>
      </c>
      <c r="F45" t="str">
        <f>Sheet4!U45</f>
        <v>08.02.2016</v>
      </c>
      <c r="G45" s="15">
        <f t="shared" si="1"/>
        <v>42408</v>
      </c>
      <c r="H45" t="str">
        <f>Sheet4!AO45</f>
        <v>Yes</v>
      </c>
      <c r="I45" t="str">
        <f>Sheet4!AQ45</f>
        <v>6 Ni 50/16 (EP)</v>
      </c>
      <c r="J45" t="str">
        <f>Sheet4!AP45</f>
        <v>Invalid for Germany</v>
      </c>
      <c r="K45" t="str">
        <f>Sheet4!AR45</f>
        <v>09.01.2020</v>
      </c>
      <c r="L45" s="15">
        <f t="shared" si="2"/>
        <v>43839</v>
      </c>
      <c r="M45" t="str">
        <f>Sheet4!AS45</f>
        <v>04.05.2016</v>
      </c>
      <c r="N45" s="15">
        <f t="shared" si="3"/>
        <v>42494</v>
      </c>
      <c r="P45">
        <f t="shared" si="4"/>
        <v>1345</v>
      </c>
      <c r="Q45">
        <f t="shared" si="5"/>
        <v>1049</v>
      </c>
    </row>
    <row r="46" spans="1:17" x14ac:dyDescent="0.25">
      <c r="A46" t="str">
        <f>Sheet4!A46</f>
        <v>2 O 98/16</v>
      </c>
      <c r="B46" t="str">
        <f>Sheet4!B46</f>
        <v>Mannheim</v>
      </c>
      <c r="C46" t="str">
        <f>Sheet4!E46</f>
        <v>No</v>
      </c>
      <c r="D46" s="6" t="str">
        <f>Sheet4!N46</f>
        <v>23.05.2017</v>
      </c>
      <c r="E46" s="14">
        <f t="shared" si="0"/>
        <v>42878</v>
      </c>
      <c r="F46">
        <f>Sheet4!U46</f>
        <v>0</v>
      </c>
      <c r="G46" s="15" t="e">
        <f t="shared" si="1"/>
        <v>#VALUE!</v>
      </c>
      <c r="H46" t="str">
        <f>Sheet4!AO46</f>
        <v>Yes</v>
      </c>
      <c r="I46" t="str">
        <f>Sheet4!AQ46</f>
        <v>6 Ni 67/16 (EP)</v>
      </c>
      <c r="J46" t="str">
        <f>Sheet4!AP46</f>
        <v>Partially invalid for Germany</v>
      </c>
      <c r="K46" t="str">
        <f>Sheet4!AR46</f>
        <v>05.12.2018</v>
      </c>
      <c r="L46" s="15">
        <f t="shared" si="2"/>
        <v>43439</v>
      </c>
      <c r="M46" t="str">
        <f>Sheet4!AS46</f>
        <v>08.09.2016</v>
      </c>
      <c r="N46" s="15">
        <f t="shared" si="3"/>
        <v>42621</v>
      </c>
      <c r="P46">
        <f t="shared" si="4"/>
        <v>818</v>
      </c>
      <c r="Q46">
        <f t="shared" si="5"/>
        <v>561</v>
      </c>
    </row>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2750-4BE9-47A1-9370-20EE94DFAE21}">
  <dimension ref="A1:Z29"/>
  <sheetViews>
    <sheetView workbookViewId="0">
      <selection activeCell="C5" sqref="C5"/>
    </sheetView>
  </sheetViews>
  <sheetFormatPr defaultRowHeight="15" x14ac:dyDescent="0.25"/>
  <cols>
    <col min="2" max="2" width="9.7109375" customWidth="1"/>
    <col min="3" max="3" width="21.140625" bestFit="1" customWidth="1"/>
    <col min="4" max="4" width="20" bestFit="1" customWidth="1"/>
    <col min="5" max="5" width="11.7109375" bestFit="1" customWidth="1"/>
    <col min="7" max="7" width="12.140625" bestFit="1" customWidth="1"/>
  </cols>
  <sheetData>
    <row r="1" spans="1:26" x14ac:dyDescent="0.25">
      <c r="C1" s="24" t="s">
        <v>288</v>
      </c>
      <c r="D1" s="24"/>
      <c r="J1" s="24" t="s">
        <v>287</v>
      </c>
      <c r="K1" s="24"/>
    </row>
    <row r="2" spans="1:26" x14ac:dyDescent="0.25">
      <c r="C2" t="s">
        <v>31</v>
      </c>
      <c r="D2" t="s">
        <v>247</v>
      </c>
      <c r="J2" t="s">
        <v>31</v>
      </c>
      <c r="K2" t="s">
        <v>247</v>
      </c>
    </row>
    <row r="3" spans="1:26" x14ac:dyDescent="0.25">
      <c r="A3" s="25" t="s">
        <v>497</v>
      </c>
      <c r="B3" t="s">
        <v>31</v>
      </c>
      <c r="C3">
        <f>COUNTIFS(Sheet4!$E$2:$E$46,$B3,Sheet4!$AG$2:$AG$46,C$2,Sheet4!$O$2:$O$46, "&lt;&gt;1")</f>
        <v>14</v>
      </c>
      <c r="D3">
        <f>COUNTIFS(Sheet4!$E$2:$E$46,$B3,Sheet4!$AG$2:$AG$46,D$2,Sheet4!$O$2:$O$46, "&lt;&gt;1")</f>
        <v>5</v>
      </c>
      <c r="H3" s="25" t="s">
        <v>497</v>
      </c>
      <c r="I3" t="s">
        <v>31</v>
      </c>
      <c r="J3">
        <f>COUNTIFS(Sheet4!$E$2:$E$46,$I3,Sheet4!$AF$2:$AF$46,J$2,Sheet4!$O$2:$O$46, "&lt;&gt;1")</f>
        <v>11</v>
      </c>
      <c r="K3">
        <f>COUNTIFS(Sheet4!$E$2:$E$46,$I3,Sheet4!$AF$2:$AF$46,K$2,Sheet4!$O$2:$O$46, "&lt;&gt;1")</f>
        <v>8</v>
      </c>
      <c r="Q3" s="16"/>
      <c r="Z3" s="16"/>
    </row>
    <row r="4" spans="1:26" x14ac:dyDescent="0.25">
      <c r="A4" s="25"/>
      <c r="B4" t="s">
        <v>25</v>
      </c>
      <c r="C4">
        <f>COUNTIFS(Sheet4!$E$2:$E$46,$B4,Sheet4!$AG$2:$AG$46,C$2,Sheet4!$O$2:$O$46, "&lt;&gt;1")</f>
        <v>10</v>
      </c>
      <c r="D4">
        <f>COUNTIFS(Sheet4!$E$2:$E$46,$B4,Sheet4!$AG$2:$AG$46,D$2,Sheet4!$O$2:$O$46, "&lt;&gt;1")</f>
        <v>5</v>
      </c>
      <c r="H4" s="25"/>
      <c r="I4" t="s">
        <v>25</v>
      </c>
      <c r="J4">
        <f>COUNTIFS(Sheet4!$E$2:$E$46,$I4,Sheet4!$AF$2:$AF$46,J$2,Sheet4!$O$2:$O$46, "&lt;&gt;1")</f>
        <v>0</v>
      </c>
      <c r="K4">
        <f>COUNTIFS(Sheet4!$E$2:$E$46,$I4,Sheet4!$AF$2:$AF$46,K$2,Sheet4!$O$2:$O$46, "&lt;&gt;1")</f>
        <v>15</v>
      </c>
      <c r="Q4" s="16"/>
      <c r="Z4" s="16"/>
    </row>
    <row r="5" spans="1:26" x14ac:dyDescent="0.25">
      <c r="A5" s="25"/>
      <c r="B5" t="s">
        <v>344</v>
      </c>
      <c r="C5">
        <f>COUNTIFS(Sheet4!$E$2:$E$46,$B5,Sheet4!$AG$2:$AG$46,C$2,Sheet4!$O$2:$O$46, "&lt;&gt;1")</f>
        <v>0</v>
      </c>
      <c r="D5">
        <f>COUNTIFS(Sheet4!$E$2:$E$46,$B5,Sheet4!$AG$2:$AG$46,D$2,Sheet4!$O$2:$O$46, "&lt;&gt;1")</f>
        <v>1</v>
      </c>
      <c r="H5" s="25"/>
      <c r="I5" t="s">
        <v>344</v>
      </c>
      <c r="J5">
        <f>COUNTIFS(Sheet4!$E$2:$E$46,$I5,Sheet4!$AF$2:$AF$46,J$2,Sheet4!$O$2:$O$46, "&lt;&gt;1")</f>
        <v>1</v>
      </c>
      <c r="K5">
        <f>COUNTIFS(Sheet4!$E$2:$E$46,$I5,Sheet4!$AF$2:$AF$46,K$2,Sheet4!$O$2:$O$46, "&lt;&gt;1")</f>
        <v>0</v>
      </c>
      <c r="Q5" s="16"/>
      <c r="Z5" s="16"/>
    </row>
    <row r="6" spans="1:26" x14ac:dyDescent="0.25">
      <c r="C6">
        <f>SUM(C3:C5)</f>
        <v>24</v>
      </c>
      <c r="D6">
        <f>SUM(D3:D5)</f>
        <v>11</v>
      </c>
      <c r="E6">
        <f>SUM(C6:D6)</f>
        <v>35</v>
      </c>
      <c r="J6">
        <f>SUM(J3:J5)</f>
        <v>12</v>
      </c>
      <c r="K6">
        <f>SUM(K3:K5)</f>
        <v>23</v>
      </c>
      <c r="L6">
        <f>SUM(J6:K6)</f>
        <v>35</v>
      </c>
    </row>
    <row r="25" spans="1:12" x14ac:dyDescent="0.25">
      <c r="C25" t="s">
        <v>31</v>
      </c>
      <c r="D25" t="s">
        <v>247</v>
      </c>
      <c r="J25" t="s">
        <v>31</v>
      </c>
      <c r="K25" t="s">
        <v>247</v>
      </c>
    </row>
    <row r="26" spans="1:12" x14ac:dyDescent="0.25">
      <c r="A26" s="25" t="s">
        <v>497</v>
      </c>
      <c r="B26" t="s">
        <v>31</v>
      </c>
      <c r="C26">
        <f>COUNTIFS(Sheet4!$E$2:$E$46,$B26,Sheet4!$AG$2:$AG$46,C$2)</f>
        <v>22</v>
      </c>
      <c r="D26">
        <f>COUNTIFS(Sheet4!$E$2:$E$46,$B26,Sheet4!$AG$2:$AG$46,D$2)</f>
        <v>5</v>
      </c>
      <c r="H26" s="25" t="s">
        <v>497</v>
      </c>
      <c r="I26" t="s">
        <v>31</v>
      </c>
      <c r="J26">
        <f>COUNTIFS(Sheet4!$E$2:$E$46,$I26,Sheet4!$AF$2:$AF$46,J$2)</f>
        <v>18</v>
      </c>
      <c r="K26">
        <f>COUNTIFS(Sheet4!$E$2:$E$46,$I26,Sheet4!$AF$2:$AF$46,K$2)</f>
        <v>9</v>
      </c>
    </row>
    <row r="27" spans="1:12" x14ac:dyDescent="0.25">
      <c r="A27" s="25"/>
      <c r="B27" t="s">
        <v>25</v>
      </c>
      <c r="C27">
        <f>COUNTIFS(Sheet4!$E$2:$E$46,$B27,Sheet4!$AG$2:$AG$46,C$2)</f>
        <v>11</v>
      </c>
      <c r="D27">
        <f>COUNTIFS(Sheet4!$E$2:$E$46,$B27,Sheet4!$AG$2:$AG$46,D$2)</f>
        <v>6</v>
      </c>
      <c r="H27" s="25"/>
      <c r="I27" t="s">
        <v>25</v>
      </c>
      <c r="J27">
        <f>COUNTIFS(Sheet4!$E$2:$E$46,$I27,Sheet4!$AF$2:$AF$46,J$2)</f>
        <v>0</v>
      </c>
      <c r="K27">
        <f>COUNTIFS(Sheet4!$E$2:$E$46,$I27,Sheet4!$AF$2:$AF$46,K$2)</f>
        <v>17</v>
      </c>
    </row>
    <row r="28" spans="1:12" x14ac:dyDescent="0.25">
      <c r="A28" s="25"/>
      <c r="B28" t="s">
        <v>344</v>
      </c>
      <c r="C28">
        <f>COUNTIFS(Sheet4!$E$2:$E$46,$B28,Sheet4!$AG$2:$AG$46,C$2)</f>
        <v>0</v>
      </c>
      <c r="D28">
        <f>COUNTIFS(Sheet4!$E$2:$E$46,$B28,Sheet4!$AG$2:$AG$46,D$2)</f>
        <v>1</v>
      </c>
      <c r="H28" s="25"/>
      <c r="I28" t="s">
        <v>344</v>
      </c>
      <c r="J28">
        <f>COUNTIFS(Sheet4!$E$2:$E$46,$I28,Sheet4!$AF$2:$AF$46,J$2)</f>
        <v>1</v>
      </c>
      <c r="K28">
        <f>COUNTIFS(Sheet4!$E$2:$E$46,$I28,Sheet4!$AF$2:$AF$46,K$2)</f>
        <v>0</v>
      </c>
    </row>
    <row r="29" spans="1:12" x14ac:dyDescent="0.25">
      <c r="C29">
        <f>SUM(C26:C28)</f>
        <v>33</v>
      </c>
      <c r="D29">
        <f>SUM(D26:D28)</f>
        <v>12</v>
      </c>
      <c r="E29">
        <f>SUM(C29:D29)</f>
        <v>45</v>
      </c>
      <c r="J29">
        <f>SUM(J26:J28)</f>
        <v>19</v>
      </c>
      <c r="K29">
        <f>SUM(K26:K28)</f>
        <v>26</v>
      </c>
      <c r="L29">
        <f>SUM(J29:K29)</f>
        <v>45</v>
      </c>
    </row>
  </sheetData>
  <mergeCells count="6">
    <mergeCell ref="C1:D1"/>
    <mergeCell ref="A3:A5"/>
    <mergeCell ref="H3:H5"/>
    <mergeCell ref="J1:K1"/>
    <mergeCell ref="A26:A28"/>
    <mergeCell ref="H26:H2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05713-19D4-48F8-83B7-F77B9E880085}">
  <dimension ref="A1:F99"/>
  <sheetViews>
    <sheetView topLeftCell="A68" workbookViewId="0">
      <selection activeCell="R101" sqref="R101"/>
    </sheetView>
  </sheetViews>
  <sheetFormatPr defaultRowHeight="15" x14ac:dyDescent="0.25"/>
  <cols>
    <col min="1" max="1" width="25.42578125" bestFit="1" customWidth="1"/>
  </cols>
  <sheetData>
    <row r="1" spans="1:5" x14ac:dyDescent="0.25">
      <c r="B1" t="s">
        <v>595</v>
      </c>
      <c r="C1" t="s">
        <v>596</v>
      </c>
      <c r="D1" t="s">
        <v>597</v>
      </c>
      <c r="E1" t="s">
        <v>598</v>
      </c>
    </row>
    <row r="2" spans="1:5" x14ac:dyDescent="0.25">
      <c r="A2" t="s">
        <v>497</v>
      </c>
      <c r="B2">
        <v>45</v>
      </c>
      <c r="C2">
        <v>3</v>
      </c>
      <c r="D2" t="s">
        <v>31</v>
      </c>
      <c r="E2">
        <v>27</v>
      </c>
    </row>
    <row r="3" spans="1:5" x14ac:dyDescent="0.25">
      <c r="A3" t="s">
        <v>282</v>
      </c>
      <c r="B3">
        <v>45</v>
      </c>
      <c r="C3">
        <v>3</v>
      </c>
      <c r="D3" t="s">
        <v>31</v>
      </c>
      <c r="E3">
        <v>40</v>
      </c>
    </row>
    <row r="4" spans="1:5" x14ac:dyDescent="0.25">
      <c r="A4" t="s">
        <v>283</v>
      </c>
      <c r="B4">
        <v>45</v>
      </c>
      <c r="C4">
        <v>4</v>
      </c>
      <c r="D4" t="s">
        <v>25</v>
      </c>
      <c r="E4">
        <v>26</v>
      </c>
    </row>
    <row r="5" spans="1:5" x14ac:dyDescent="0.25">
      <c r="A5" t="s">
        <v>284</v>
      </c>
      <c r="B5">
        <v>45</v>
      </c>
      <c r="C5">
        <v>3</v>
      </c>
      <c r="D5" t="s">
        <v>31</v>
      </c>
      <c r="E5">
        <v>43</v>
      </c>
    </row>
    <row r="6" spans="1:5" x14ac:dyDescent="0.25">
      <c r="A6" t="s">
        <v>285</v>
      </c>
      <c r="B6">
        <v>45</v>
      </c>
      <c r="C6">
        <v>4</v>
      </c>
      <c r="D6" t="s">
        <v>31</v>
      </c>
      <c r="E6">
        <v>24</v>
      </c>
    </row>
    <row r="7" spans="1:5" x14ac:dyDescent="0.25">
      <c r="A7" t="s">
        <v>286</v>
      </c>
      <c r="B7">
        <v>45</v>
      </c>
      <c r="C7">
        <v>4</v>
      </c>
      <c r="D7" t="s">
        <v>31</v>
      </c>
      <c r="E7">
        <v>17</v>
      </c>
    </row>
    <row r="8" spans="1:5" x14ac:dyDescent="0.25">
      <c r="A8" t="s">
        <v>316</v>
      </c>
      <c r="B8">
        <v>45</v>
      </c>
      <c r="C8">
        <v>5</v>
      </c>
      <c r="D8" t="s">
        <v>31</v>
      </c>
      <c r="E8">
        <v>16</v>
      </c>
    </row>
    <row r="9" spans="1:5" x14ac:dyDescent="0.25">
      <c r="A9" t="s">
        <v>317</v>
      </c>
      <c r="B9">
        <v>45</v>
      </c>
      <c r="C9">
        <v>4</v>
      </c>
      <c r="D9" t="s">
        <v>36</v>
      </c>
      <c r="E9">
        <v>23</v>
      </c>
    </row>
    <row r="12" spans="1:5" x14ac:dyDescent="0.25">
      <c r="A12" s="24" t="s">
        <v>599</v>
      </c>
      <c r="B12" s="24"/>
      <c r="C12" s="24"/>
      <c r="D12" s="24"/>
      <c r="E12" s="24"/>
    </row>
    <row r="13" spans="1:5" x14ac:dyDescent="0.25">
      <c r="A13" t="s">
        <v>497</v>
      </c>
      <c r="B13" t="s">
        <v>31</v>
      </c>
      <c r="C13" t="s">
        <v>25</v>
      </c>
      <c r="D13" t="s">
        <v>344</v>
      </c>
      <c r="E13" t="s">
        <v>600</v>
      </c>
    </row>
    <row r="14" spans="1:5" x14ac:dyDescent="0.25">
      <c r="A14" t="s">
        <v>1</v>
      </c>
    </row>
    <row r="15" spans="1:5" x14ac:dyDescent="0.25">
      <c r="A15" t="s">
        <v>2</v>
      </c>
      <c r="B15">
        <v>10</v>
      </c>
      <c r="C15">
        <v>8</v>
      </c>
      <c r="D15">
        <v>1</v>
      </c>
      <c r="E15">
        <v>19</v>
      </c>
    </row>
    <row r="16" spans="1:5" x14ac:dyDescent="0.25">
      <c r="A16" t="s">
        <v>10</v>
      </c>
      <c r="B16">
        <v>12</v>
      </c>
      <c r="C16">
        <v>9</v>
      </c>
      <c r="D16">
        <v>0</v>
      </c>
      <c r="E16">
        <v>21</v>
      </c>
    </row>
    <row r="17" spans="1:5" x14ac:dyDescent="0.25">
      <c r="A17" t="s">
        <v>21</v>
      </c>
      <c r="B17">
        <v>5</v>
      </c>
      <c r="C17">
        <v>0</v>
      </c>
      <c r="D17">
        <v>0</v>
      </c>
      <c r="E17">
        <v>5</v>
      </c>
    </row>
    <row r="18" spans="1:5" x14ac:dyDescent="0.25">
      <c r="A18" t="s">
        <v>600</v>
      </c>
      <c r="B18">
        <v>27</v>
      </c>
      <c r="C18">
        <v>17</v>
      </c>
      <c r="D18">
        <v>1</v>
      </c>
      <c r="E18">
        <v>45</v>
      </c>
    </row>
    <row r="21" spans="1:5" x14ac:dyDescent="0.25">
      <c r="A21" s="24" t="s">
        <v>601</v>
      </c>
      <c r="B21" s="24"/>
      <c r="C21" s="24"/>
      <c r="D21" s="24"/>
      <c r="E21" s="24"/>
    </row>
    <row r="22" spans="1:5" x14ac:dyDescent="0.25">
      <c r="A22" t="s">
        <v>497</v>
      </c>
      <c r="B22" t="s">
        <v>31</v>
      </c>
      <c r="C22" t="s">
        <v>25</v>
      </c>
      <c r="D22" t="s">
        <v>344</v>
      </c>
      <c r="E22" t="s">
        <v>600</v>
      </c>
    </row>
    <row r="23" spans="1:5" x14ac:dyDescent="0.25">
      <c r="A23" t="s">
        <v>287</v>
      </c>
    </row>
    <row r="24" spans="1:5" x14ac:dyDescent="0.25">
      <c r="A24" t="s">
        <v>247</v>
      </c>
      <c r="B24">
        <v>9</v>
      </c>
      <c r="C24">
        <v>17</v>
      </c>
      <c r="D24">
        <v>0</v>
      </c>
      <c r="E24">
        <v>26</v>
      </c>
    </row>
    <row r="25" spans="1:5" x14ac:dyDescent="0.25">
      <c r="A25" t="s">
        <v>31</v>
      </c>
      <c r="B25">
        <v>18</v>
      </c>
      <c r="C25">
        <v>0</v>
      </c>
      <c r="D25">
        <v>1</v>
      </c>
      <c r="E25">
        <v>19</v>
      </c>
    </row>
    <row r="26" spans="1:5" x14ac:dyDescent="0.25">
      <c r="A26" t="s">
        <v>600</v>
      </c>
      <c r="B26">
        <v>27</v>
      </c>
      <c r="C26">
        <v>17</v>
      </c>
      <c r="D26">
        <v>1</v>
      </c>
      <c r="E26">
        <v>45</v>
      </c>
    </row>
    <row r="29" spans="1:5" x14ac:dyDescent="0.25">
      <c r="A29" s="24" t="s">
        <v>602</v>
      </c>
      <c r="B29" s="24"/>
      <c r="C29" s="24"/>
      <c r="D29" s="24"/>
      <c r="E29" s="24"/>
    </row>
    <row r="30" spans="1:5" x14ac:dyDescent="0.25">
      <c r="A30" t="s">
        <v>497</v>
      </c>
      <c r="B30" t="s">
        <v>31</v>
      </c>
      <c r="C30" t="s">
        <v>25</v>
      </c>
      <c r="D30" t="s">
        <v>344</v>
      </c>
      <c r="E30" t="s">
        <v>600</v>
      </c>
    </row>
    <row r="31" spans="1:5" x14ac:dyDescent="0.25">
      <c r="A31" t="s">
        <v>288</v>
      </c>
    </row>
    <row r="32" spans="1:5" x14ac:dyDescent="0.25">
      <c r="A32" t="s">
        <v>247</v>
      </c>
      <c r="B32">
        <v>5</v>
      </c>
      <c r="C32">
        <v>6</v>
      </c>
      <c r="D32">
        <v>1</v>
      </c>
      <c r="E32">
        <v>12</v>
      </c>
    </row>
    <row r="33" spans="1:6" x14ac:dyDescent="0.25">
      <c r="A33" t="s">
        <v>31</v>
      </c>
      <c r="B33">
        <v>22</v>
      </c>
      <c r="C33">
        <v>11</v>
      </c>
      <c r="D33">
        <v>0</v>
      </c>
      <c r="E33">
        <v>33</v>
      </c>
    </row>
    <row r="34" spans="1:6" x14ac:dyDescent="0.25">
      <c r="A34" t="s">
        <v>600</v>
      </c>
      <c r="B34">
        <v>27</v>
      </c>
      <c r="C34">
        <v>17</v>
      </c>
      <c r="D34">
        <v>1</v>
      </c>
      <c r="E34">
        <v>45</v>
      </c>
    </row>
    <row r="37" spans="1:6" x14ac:dyDescent="0.25">
      <c r="A37" s="24" t="s">
        <v>603</v>
      </c>
      <c r="B37" s="24"/>
      <c r="C37" s="24"/>
      <c r="D37" s="24"/>
      <c r="E37" s="24"/>
    </row>
    <row r="38" spans="1:6" x14ac:dyDescent="0.25">
      <c r="A38" t="s">
        <v>497</v>
      </c>
      <c r="B38" t="s">
        <v>31</v>
      </c>
      <c r="C38" t="s">
        <v>25</v>
      </c>
      <c r="D38" t="s">
        <v>344</v>
      </c>
      <c r="E38" t="s">
        <v>600</v>
      </c>
    </row>
    <row r="39" spans="1:6" x14ac:dyDescent="0.25">
      <c r="A39" t="s">
        <v>355</v>
      </c>
    </row>
    <row r="40" spans="1:6" x14ac:dyDescent="0.25">
      <c r="A40" t="s">
        <v>25</v>
      </c>
      <c r="B40">
        <v>15</v>
      </c>
      <c r="C40">
        <v>13</v>
      </c>
      <c r="D40">
        <v>1</v>
      </c>
      <c r="E40">
        <v>29</v>
      </c>
    </row>
    <row r="41" spans="1:6" x14ac:dyDescent="0.25">
      <c r="A41" t="s">
        <v>31</v>
      </c>
      <c r="B41">
        <v>12</v>
      </c>
      <c r="C41">
        <v>4</v>
      </c>
      <c r="D41">
        <v>0</v>
      </c>
      <c r="E41">
        <v>16</v>
      </c>
    </row>
    <row r="42" spans="1:6" x14ac:dyDescent="0.25">
      <c r="A42" t="s">
        <v>600</v>
      </c>
      <c r="B42">
        <v>27</v>
      </c>
      <c r="C42">
        <v>17</v>
      </c>
      <c r="D42">
        <v>1</v>
      </c>
      <c r="E42">
        <v>45</v>
      </c>
    </row>
    <row r="45" spans="1:6" x14ac:dyDescent="0.25">
      <c r="A45" s="24" t="s">
        <v>604</v>
      </c>
      <c r="B45" s="24"/>
      <c r="C45" s="24"/>
      <c r="D45" s="24"/>
    </row>
    <row r="46" spans="1:6" x14ac:dyDescent="0.25">
      <c r="A46" t="s">
        <v>497</v>
      </c>
      <c r="B46" t="s">
        <v>31</v>
      </c>
      <c r="C46" t="s">
        <v>25</v>
      </c>
      <c r="D46" t="s">
        <v>344</v>
      </c>
    </row>
    <row r="47" spans="1:6" x14ac:dyDescent="0.25">
      <c r="A47" t="s">
        <v>282</v>
      </c>
    </row>
    <row r="48" spans="1:6" x14ac:dyDescent="0.25">
      <c r="A48" t="s">
        <v>31</v>
      </c>
      <c r="B48">
        <f>COUNTIFS(Sheet4!$E$2:$E$46, "Yes", Sheet4!$Y$2:$Y$46, "Yes")</f>
        <v>24</v>
      </c>
      <c r="C48">
        <f>COUNTIFS(Sheet4!$E$2:$E$46, "No", Sheet4!$Y$2:$Y$46, "Yes")</f>
        <v>16</v>
      </c>
      <c r="D48">
        <f>COUNTIFS(Sheet4!$E$2:$E$46, "n./a.", Sheet4!$Y$2:$Y$46, "Yes")</f>
        <v>0</v>
      </c>
      <c r="F48">
        <f>SUM(B48:D48)</f>
        <v>40</v>
      </c>
    </row>
    <row r="49" spans="1:6" x14ac:dyDescent="0.25">
      <c r="A49" t="s">
        <v>247</v>
      </c>
      <c r="B49">
        <f>COUNTIFS(Sheet4!$E$2:$E$46, "Yes", Sheet4!$Y$2:$Y$46, "~?")</f>
        <v>0</v>
      </c>
      <c r="C49">
        <f>COUNTIFS(Sheet4!$E$2:$E$46, "No", Sheet4!$Y$2:$Y$46, "~?")</f>
        <v>0</v>
      </c>
      <c r="D49">
        <f>COUNTIFS(Sheet4!$E$2:$E$46, "n./a.", Sheet4!$Y$2:$Y$46, "~?")</f>
        <v>1</v>
      </c>
      <c r="F49">
        <f>SUM(B49:D49)</f>
        <v>1</v>
      </c>
    </row>
    <row r="50" spans="1:6" x14ac:dyDescent="0.25">
      <c r="A50" t="s">
        <v>36</v>
      </c>
      <c r="B50">
        <f>COUNTIFS(Sheet4!$E$2:$E$46, "Yes", Sheet4!$Y$2:$Y$46, "-")</f>
        <v>3</v>
      </c>
      <c r="C50">
        <f>COUNTIFS(Sheet4!$E$2:$E$46, "No", Sheet4!$Y$2:$Y$46, "-")</f>
        <v>1</v>
      </c>
      <c r="D50">
        <f>COUNTIFS(Sheet4!$E$2:$E$46, "n./a.", Sheet4!$Y$2:$Y$46, "-")</f>
        <v>0</v>
      </c>
      <c r="F50">
        <f>SUM(B50:D50)</f>
        <v>4</v>
      </c>
    </row>
    <row r="51" spans="1:6" x14ac:dyDescent="0.25">
      <c r="F51">
        <f>SUM(F48:F50)</f>
        <v>45</v>
      </c>
    </row>
    <row r="52" spans="1:6" x14ac:dyDescent="0.25">
      <c r="A52" s="24" t="s">
        <v>605</v>
      </c>
      <c r="B52" s="24"/>
      <c r="C52" s="24"/>
      <c r="D52" s="24"/>
    </row>
    <row r="53" spans="1:6" x14ac:dyDescent="0.25">
      <c r="A53" t="s">
        <v>497</v>
      </c>
      <c r="B53" t="s">
        <v>31</v>
      </c>
      <c r="C53" t="s">
        <v>25</v>
      </c>
      <c r="D53" t="s">
        <v>344</v>
      </c>
    </row>
    <row r="54" spans="1:6" x14ac:dyDescent="0.25">
      <c r="A54" t="s">
        <v>283</v>
      </c>
    </row>
    <row r="55" spans="1:6" x14ac:dyDescent="0.25">
      <c r="A55" t="s">
        <v>31</v>
      </c>
      <c r="B55">
        <f>COUNTIFS(Sheet4!$E$2:$E$46, "Yes", Sheet4!$Z$2:$Z$46, "Yes")</f>
        <v>0</v>
      </c>
      <c r="C55">
        <f>COUNTIFS(Sheet4!$E$2:$E$46, "No", Sheet4!$Z$2:$Z$46, "Yes")</f>
        <v>15</v>
      </c>
      <c r="D55">
        <f>COUNTIFS(Sheet4!$E$2:$E$46, "n./a.", Sheet4!$Z$2:$Z$46, "Yes")</f>
        <v>0</v>
      </c>
      <c r="F55">
        <f>SUM(B55:D55)</f>
        <v>15</v>
      </c>
    </row>
    <row r="56" spans="1:6" x14ac:dyDescent="0.25">
      <c r="A56" t="s">
        <v>25</v>
      </c>
      <c r="B56">
        <f>COUNTIFS(Sheet4!$E$2:$E$46, "Yes", Sheet4!$Z$2:$Z$46, "No")</f>
        <v>26</v>
      </c>
      <c r="C56">
        <f>COUNTIFS(Sheet4!$E$2:$E$46, "No", Sheet4!$Z$2:$Z$46, "No")</f>
        <v>0</v>
      </c>
      <c r="D56">
        <f>COUNTIFS(Sheet4!$E$2:$E$46, "n./a.", Sheet4!$Z$2:$Z$46, "No")</f>
        <v>0</v>
      </c>
      <c r="F56">
        <f>SUM(B56:D56)</f>
        <v>26</v>
      </c>
    </row>
    <row r="57" spans="1:6" x14ac:dyDescent="0.25">
      <c r="A57" t="s">
        <v>247</v>
      </c>
      <c r="B57">
        <f>COUNTIFS(Sheet4!$E$2:$E$46, "Yes", Sheet4!$Z$2:$Z$46, "~?")</f>
        <v>0</v>
      </c>
      <c r="C57">
        <f>COUNTIFS(Sheet4!$E$2:$E$46, "No", Sheet4!$Z$2:$Z$46, "~?")</f>
        <v>2</v>
      </c>
      <c r="D57">
        <f>COUNTIFS(Sheet4!$E$2:$E$46, "n./a.", Sheet4!$Z$2:$Z$46, "~?")</f>
        <v>1</v>
      </c>
      <c r="F57">
        <f>SUM(B57:D57)</f>
        <v>3</v>
      </c>
    </row>
    <row r="58" spans="1:6" x14ac:dyDescent="0.25">
      <c r="A58" t="s">
        <v>36</v>
      </c>
      <c r="B58">
        <f>COUNTIFS(Sheet4!$E$2:$E$46, "Yes", Sheet4!$Z$2:$Z$46, "-")</f>
        <v>1</v>
      </c>
      <c r="C58">
        <f>COUNTIFS(Sheet4!$E$2:$E$46, "No", Sheet4!$Z$2:$Z$46, "-")</f>
        <v>0</v>
      </c>
      <c r="D58">
        <f>COUNTIFS(Sheet4!$E$2:$E$46, "n./a.", Sheet4!$Z$2:$Z$46, "-")</f>
        <v>0</v>
      </c>
      <c r="F58">
        <f>SUM(B58:D58)</f>
        <v>1</v>
      </c>
    </row>
    <row r="59" spans="1:6" x14ac:dyDescent="0.25">
      <c r="F59">
        <f>SUM(F55:F58)</f>
        <v>45</v>
      </c>
    </row>
    <row r="60" spans="1:6" x14ac:dyDescent="0.25">
      <c r="A60" s="24" t="s">
        <v>606</v>
      </c>
      <c r="B60" s="24"/>
      <c r="C60" s="24"/>
      <c r="D60" s="24"/>
    </row>
    <row r="61" spans="1:6" x14ac:dyDescent="0.25">
      <c r="A61" t="s">
        <v>497</v>
      </c>
      <c r="B61" t="s">
        <v>31</v>
      </c>
      <c r="C61" t="s">
        <v>25</v>
      </c>
      <c r="D61" t="s">
        <v>344</v>
      </c>
    </row>
    <row r="62" spans="1:6" x14ac:dyDescent="0.25">
      <c r="A62" t="s">
        <v>284</v>
      </c>
    </row>
    <row r="63" spans="1:6" x14ac:dyDescent="0.25">
      <c r="A63" t="s">
        <v>31</v>
      </c>
      <c r="B63">
        <f>COUNTIFS(Sheet4!$E$2:$E$46, "Yes", Sheet4!$AA$2:$AA$46, "Yes")</f>
        <v>27</v>
      </c>
      <c r="C63">
        <f>COUNTIFS(Sheet4!$E$2:$E$46, "No", Sheet4!$AA$2:$AA$46, "Yes")</f>
        <v>15</v>
      </c>
      <c r="D63">
        <f>COUNTIFS(Sheet4!$E$2:$E$46, "n./a.", Sheet4!$AA$2:$AA$46, "Yes")</f>
        <v>1</v>
      </c>
      <c r="F63">
        <f>SUM(B63:D63)</f>
        <v>43</v>
      </c>
    </row>
    <row r="64" spans="1:6" x14ac:dyDescent="0.25">
      <c r="A64" t="s">
        <v>247</v>
      </c>
      <c r="B64">
        <f>COUNTIFS(Sheet4!$E$2:$E$46, "Yes", Sheet4!$AA$2:$AA$46, "~?")</f>
        <v>0</v>
      </c>
      <c r="C64">
        <f>COUNTIFS(Sheet4!$E$2:$E$46, "No", Sheet4!$AA$2:$AA$46, "~?")</f>
        <v>1</v>
      </c>
      <c r="D64">
        <f>COUNTIFS(Sheet4!$E$2:$E$46, "n./a.", Sheet4!$AA$2:$AA$46, "~?")</f>
        <v>0</v>
      </c>
      <c r="F64">
        <f>SUM(B64:D64)</f>
        <v>1</v>
      </c>
    </row>
    <row r="65" spans="1:6" x14ac:dyDescent="0.25">
      <c r="A65" t="s">
        <v>36</v>
      </c>
      <c r="B65">
        <f>COUNTIFS(Sheet4!$E$2:$E$46, "Yes", Sheet4!$AA$2:$AA$46, "-")</f>
        <v>0</v>
      </c>
      <c r="C65">
        <f>COUNTIFS(Sheet4!$E$2:$E$46, "No", Sheet4!$AA$2:$AA$46, "-")</f>
        <v>1</v>
      </c>
      <c r="D65">
        <f>COUNTIFS(Sheet4!$E$2:$E$46, "n./a.", Sheet4!$AA$2:$AA$46, "-")</f>
        <v>0</v>
      </c>
      <c r="F65">
        <f>SUM(B65:D65)</f>
        <v>1</v>
      </c>
    </row>
    <row r="66" spans="1:6" x14ac:dyDescent="0.25">
      <c r="F66">
        <f>SUM(F63:F65)</f>
        <v>45</v>
      </c>
    </row>
    <row r="67" spans="1:6" x14ac:dyDescent="0.25">
      <c r="A67" s="24" t="s">
        <v>607</v>
      </c>
      <c r="B67" s="24"/>
      <c r="C67" s="24"/>
      <c r="D67" s="24"/>
    </row>
    <row r="68" spans="1:6" x14ac:dyDescent="0.25">
      <c r="A68" t="s">
        <v>497</v>
      </c>
      <c r="B68" t="s">
        <v>31</v>
      </c>
      <c r="C68" t="s">
        <v>25</v>
      </c>
      <c r="D68" t="s">
        <v>344</v>
      </c>
    </row>
    <row r="69" spans="1:6" x14ac:dyDescent="0.25">
      <c r="A69" t="s">
        <v>285</v>
      </c>
    </row>
    <row r="70" spans="1:6" x14ac:dyDescent="0.25">
      <c r="A70" t="s">
        <v>31</v>
      </c>
      <c r="B70">
        <f>COUNTIFS(Sheet4!$E$2:$E$46, "Yes", Sheet4!$AB$2:$AB$46, "Yes")</f>
        <v>9</v>
      </c>
      <c r="C70">
        <f>COUNTIFS(Sheet4!$E$2:$E$46, "No", Sheet4!$AB$2:$AB$46, "Yes")</f>
        <v>14</v>
      </c>
      <c r="D70">
        <f>COUNTIFS(Sheet4!$E$2:$E$46, "n./a.", Sheet4!$AB$2:$AB$46, "Yes")</f>
        <v>1</v>
      </c>
      <c r="F70">
        <f>SUM(B70:D70)</f>
        <v>24</v>
      </c>
    </row>
    <row r="71" spans="1:6" x14ac:dyDescent="0.25">
      <c r="A71" t="s">
        <v>25</v>
      </c>
      <c r="B71">
        <f>COUNTIFS(Sheet4!$E$2:$E$46, "Yes", Sheet4!$AB$2:$AB$46, "No")</f>
        <v>18</v>
      </c>
      <c r="C71">
        <f>COUNTIFS(Sheet4!$E$2:$E$46, "No", Sheet4!$AB$2:$AB$46, "No")</f>
        <v>1</v>
      </c>
      <c r="D71">
        <f>COUNTIFS(Sheet4!$E$2:$E$46, "n./a.", Sheet4!$AB$2:$AB$46, "No")</f>
        <v>0</v>
      </c>
      <c r="F71">
        <f>SUM(B71:D71)</f>
        <v>19</v>
      </c>
    </row>
    <row r="72" spans="1:6" x14ac:dyDescent="0.25">
      <c r="A72" t="s">
        <v>247</v>
      </c>
      <c r="B72">
        <f>COUNTIFS(Sheet4!$E$2:$E$46, "Yes", Sheet4!$AB$2:$AB$46, "~?")</f>
        <v>0</v>
      </c>
      <c r="C72">
        <f>COUNTIFS(Sheet4!$E$2:$E$46, "No", Sheet4!$AB$2:$AB$46, "~?")</f>
        <v>1</v>
      </c>
      <c r="D72">
        <f>COUNTIFS(Sheet4!$E$2:$E$46, "n./a.", Sheet4!$AB$2:$AB$46, "~?")</f>
        <v>0</v>
      </c>
      <c r="F72">
        <f>SUM(B72:D72)</f>
        <v>1</v>
      </c>
    </row>
    <row r="73" spans="1:6" x14ac:dyDescent="0.25">
      <c r="A73" t="s">
        <v>36</v>
      </c>
      <c r="B73">
        <f>COUNTIFS(Sheet4!$E$2:$E$46, "Yes", Sheet4!$AB$2:$AB$46, "-")</f>
        <v>0</v>
      </c>
      <c r="C73">
        <f>COUNTIFS(Sheet4!$E$2:$E$46, "No", Sheet4!$AB$2:$AB$46, "-")</f>
        <v>1</v>
      </c>
      <c r="D73">
        <f>COUNTIFS(Sheet4!$E$2:$E$46, "n./a.", Sheet4!$AB$2:$AB$46, "-")</f>
        <v>0</v>
      </c>
      <c r="F73">
        <f>SUM(B73:D73)</f>
        <v>1</v>
      </c>
    </row>
    <row r="74" spans="1:6" x14ac:dyDescent="0.25">
      <c r="F74">
        <f>SUM(F70:F73)</f>
        <v>45</v>
      </c>
    </row>
    <row r="75" spans="1:6" x14ac:dyDescent="0.25">
      <c r="A75" s="24" t="s">
        <v>608</v>
      </c>
      <c r="B75" s="24"/>
      <c r="C75" s="24"/>
      <c r="D75" s="24"/>
    </row>
    <row r="76" spans="1:6" x14ac:dyDescent="0.25">
      <c r="A76" s="6" t="s">
        <v>497</v>
      </c>
      <c r="B76" s="6" t="s">
        <v>31</v>
      </c>
      <c r="C76" s="6" t="s">
        <v>25</v>
      </c>
      <c r="D76" s="6" t="s">
        <v>344</v>
      </c>
    </row>
    <row r="77" spans="1:6" x14ac:dyDescent="0.25">
      <c r="A77" t="s">
        <v>286</v>
      </c>
    </row>
    <row r="78" spans="1:6" x14ac:dyDescent="0.25">
      <c r="A78" t="s">
        <v>31</v>
      </c>
      <c r="B78">
        <f>COUNTIFS(Sheet4!$E$2:$E$46, "Yes", Sheet4!$AC$2:$AC$46, "Yes")</f>
        <v>17</v>
      </c>
      <c r="C78">
        <f>COUNTIFS(Sheet4!$E$2:$E$46, "No", Sheet4!$AC$2:$AC$46, "Yes")</f>
        <v>0</v>
      </c>
      <c r="D78">
        <f>COUNTIFS(Sheet4!$E$2:$E$46, "n./a.", Sheet4!$AC$2:$AC$46, "Yes")</f>
        <v>0</v>
      </c>
      <c r="F78">
        <f>SUM(B78:D78)</f>
        <v>17</v>
      </c>
    </row>
    <row r="79" spans="1:6" x14ac:dyDescent="0.25">
      <c r="A79" t="s">
        <v>25</v>
      </c>
      <c r="B79">
        <f>COUNTIFS(Sheet4!$E$2:$E$46, "Yes", Sheet4!$AC$2:$AC$46, "No")</f>
        <v>0</v>
      </c>
      <c r="C79">
        <f>COUNTIFS(Sheet4!$E$2:$E$46, "No", Sheet4!$AC$2:$AC$46, "No")</f>
        <v>15</v>
      </c>
      <c r="D79">
        <f>COUNTIFS(Sheet4!$E$2:$E$46, "n./a.", Sheet4!$AC$2:$AC$46, "No")</f>
        <v>0</v>
      </c>
      <c r="F79">
        <f>SUM(B79:D79)</f>
        <v>15</v>
      </c>
    </row>
    <row r="80" spans="1:6" x14ac:dyDescent="0.25">
      <c r="A80" t="s">
        <v>247</v>
      </c>
      <c r="B80">
        <f>COUNTIFS(Sheet4!$E$2:$E$46, "Yes", Sheet4!$AC$2:$AC$46, "~?")</f>
        <v>0</v>
      </c>
      <c r="C80">
        <f>COUNTIFS(Sheet4!$E$2:$E$46, "No", Sheet4!$AC$2:$AC$46, "~?")</f>
        <v>0</v>
      </c>
      <c r="D80">
        <f>COUNTIFS(Sheet4!$E$2:$E$46, "n./a.", Sheet4!$AC$2:$AC$46, "~?")</f>
        <v>1</v>
      </c>
      <c r="F80">
        <f>SUM(B80:D80)</f>
        <v>1</v>
      </c>
    </row>
    <row r="81" spans="1:6" x14ac:dyDescent="0.25">
      <c r="A81" t="s">
        <v>36</v>
      </c>
      <c r="B81">
        <f>COUNTIFS(Sheet4!$E$2:$E$46, "Yes", Sheet4!$AC$2:$AC$46, "-")</f>
        <v>10</v>
      </c>
      <c r="C81">
        <f>COUNTIFS(Sheet4!$E$2:$E$46, "No", Sheet4!$AC$2:$AC$46, "-")</f>
        <v>2</v>
      </c>
      <c r="D81">
        <f>COUNTIFS(Sheet4!$E$2:$E$46, "n./a.", Sheet4!$AC$2:$AC$46, "-")</f>
        <v>0</v>
      </c>
      <c r="F81">
        <f>SUM(B81:D81)</f>
        <v>12</v>
      </c>
    </row>
    <row r="82" spans="1:6" x14ac:dyDescent="0.25">
      <c r="F82">
        <f>SUM(F78:F81)</f>
        <v>45</v>
      </c>
    </row>
    <row r="83" spans="1:6" x14ac:dyDescent="0.25">
      <c r="A83" s="24" t="s">
        <v>609</v>
      </c>
      <c r="B83" s="24"/>
      <c r="C83" s="24"/>
      <c r="D83" s="24"/>
    </row>
    <row r="84" spans="1:6" x14ac:dyDescent="0.25">
      <c r="A84" s="6" t="s">
        <v>497</v>
      </c>
      <c r="B84" s="6" t="s">
        <v>31</v>
      </c>
      <c r="C84" s="6" t="s">
        <v>25</v>
      </c>
      <c r="D84" s="6" t="s">
        <v>344</v>
      </c>
    </row>
    <row r="85" spans="1:6" x14ac:dyDescent="0.25">
      <c r="A85" t="s">
        <v>316</v>
      </c>
    </row>
    <row r="86" spans="1:6" x14ac:dyDescent="0.25">
      <c r="A86" t="s">
        <v>31</v>
      </c>
      <c r="B86">
        <f>COUNTIFS(Sheet4!$E$2:$E$46, "Yes", Sheet4!$AD$2:$AD$46, "Yes")</f>
        <v>16</v>
      </c>
      <c r="C86">
        <f>COUNTIFS(Sheet4!$E$2:$E$46, "No", Sheet4!$AD$2:$AD$46, "Yes")</f>
        <v>0</v>
      </c>
      <c r="D86">
        <f>COUNTIFS(Sheet4!$E$2:$E$46, "n./a.", Sheet4!$AD$2:$AD$46, "Yes")</f>
        <v>0</v>
      </c>
      <c r="F86">
        <f>SUM(B86:D86)</f>
        <v>16</v>
      </c>
    </row>
    <row r="87" spans="1:6" x14ac:dyDescent="0.25">
      <c r="A87" t="s">
        <v>248</v>
      </c>
      <c r="B87">
        <f>COUNTIFS(Sheet4!$E$2:$E$46, "Yes", Sheet4!$AD$2:$AD$46, "Yes?")</f>
        <v>0</v>
      </c>
      <c r="C87">
        <f>COUNTIFS(Sheet4!$E$2:$E$46, "No", Sheet4!$AD$2:$AD$46, "Yes?")</f>
        <v>3</v>
      </c>
      <c r="D87">
        <f>COUNTIFS(Sheet4!$E$2:$E$46, "n./a.", Sheet4!$AD$2:$AD$46, "Yes?")</f>
        <v>0</v>
      </c>
      <c r="F87">
        <f>SUM(B87:D87)</f>
        <v>3</v>
      </c>
    </row>
    <row r="88" spans="1:6" x14ac:dyDescent="0.25">
      <c r="A88" t="s">
        <v>25</v>
      </c>
      <c r="B88">
        <f>COUNTIFS(Sheet4!$E$2:$E$46, "Yes", Sheet4!$AD$2:$AD$46, "No")</f>
        <v>0</v>
      </c>
      <c r="C88">
        <f>COUNTIFS(Sheet4!$E$2:$E$46, "No", Sheet4!$AD$2:$AD$46, "No")</f>
        <v>11</v>
      </c>
      <c r="D88">
        <f>COUNTIFS(Sheet4!$E$2:$E$46, "n./a.", Sheet4!$AD$2:$AD$46, "No")</f>
        <v>0</v>
      </c>
      <c r="F88">
        <f>SUM(B88:D88)</f>
        <v>11</v>
      </c>
    </row>
    <row r="89" spans="1:6" x14ac:dyDescent="0.25">
      <c r="A89" t="s">
        <v>247</v>
      </c>
      <c r="B89">
        <f>COUNTIFS(Sheet4!$E$2:$E$46, "Yes", Sheet4!$AD$2:$AD$46, "~?")</f>
        <v>1</v>
      </c>
      <c r="C89">
        <f>COUNTIFS(Sheet4!$E$2:$E$46, "No", Sheet4!$AD$2:$AD$46, "~?")</f>
        <v>1</v>
      </c>
      <c r="D89">
        <f>COUNTIFS(Sheet4!$E$2:$E$46, "n./a.", Sheet4!$AD$2:$AD$46, "~?")</f>
        <v>1</v>
      </c>
      <c r="F89">
        <f>SUM(B89:D89)</f>
        <v>3</v>
      </c>
    </row>
    <row r="90" spans="1:6" x14ac:dyDescent="0.25">
      <c r="A90" t="s">
        <v>36</v>
      </c>
      <c r="B90">
        <f>COUNTIFS(Sheet4!$E$2:$E$46, "Yes", Sheet4!$AD$2:$AD$46, "-")</f>
        <v>10</v>
      </c>
      <c r="C90">
        <f>COUNTIFS(Sheet4!$E$2:$E$46, "No", Sheet4!$AD$2:$AD$46, "-")</f>
        <v>2</v>
      </c>
      <c r="D90">
        <f>COUNTIFS(Sheet4!$E$2:$E$46, "n./a.", Sheet4!$AD$2:$AD$46, "-")</f>
        <v>0</v>
      </c>
      <c r="F90">
        <f>SUM(B90:D90)</f>
        <v>12</v>
      </c>
    </row>
    <row r="91" spans="1:6" x14ac:dyDescent="0.25">
      <c r="F91">
        <f>SUM(F86:F90)</f>
        <v>45</v>
      </c>
    </row>
    <row r="92" spans="1:6" x14ac:dyDescent="0.25">
      <c r="A92" s="24" t="s">
        <v>610</v>
      </c>
      <c r="B92" s="24"/>
      <c r="C92" s="24"/>
      <c r="D92" s="24"/>
    </row>
    <row r="93" spans="1:6" x14ac:dyDescent="0.25">
      <c r="A93" s="6" t="s">
        <v>497</v>
      </c>
      <c r="B93" s="6" t="s">
        <v>31</v>
      </c>
      <c r="C93" s="6" t="s">
        <v>25</v>
      </c>
      <c r="D93" s="6" t="s">
        <v>344</v>
      </c>
    </row>
    <row r="94" spans="1:6" x14ac:dyDescent="0.25">
      <c r="A94" t="s">
        <v>317</v>
      </c>
    </row>
    <row r="95" spans="1:6" x14ac:dyDescent="0.25">
      <c r="A95" t="s">
        <v>31</v>
      </c>
      <c r="B95">
        <f>COUNTIFS(Sheet4!$E$2:$E$46, "Yes", Sheet4!$AE$2:$AE$46, "Yes")</f>
        <v>15</v>
      </c>
      <c r="C95">
        <f>COUNTIFS(Sheet4!$E$2:$E$46, "No", Sheet4!$AE$2:$AE$46, "Yes")</f>
        <v>0</v>
      </c>
      <c r="D95">
        <f>COUNTIFS(Sheet4!$E$2:$E$46, "n./a.", Sheet4!$AE$2:$AE$46, "Yes")</f>
        <v>0</v>
      </c>
      <c r="F95">
        <f>SUM(B95:D95)</f>
        <v>15</v>
      </c>
    </row>
    <row r="96" spans="1:6" x14ac:dyDescent="0.25">
      <c r="A96" t="s">
        <v>25</v>
      </c>
      <c r="B96">
        <f>COUNTIFS(Sheet4!$E$2:$E$46, "Yes", Sheet4!$AE$2:$AE$46, "No")</f>
        <v>0</v>
      </c>
      <c r="C96">
        <f>COUNTIFS(Sheet4!$E$2:$E$46, "No", Sheet4!$AE$2:$AE$46, "No")</f>
        <v>4</v>
      </c>
      <c r="D96">
        <f>COUNTIFS(Sheet4!$E$2:$E$46, "n./a.", Sheet4!$AE$2:$AE$46, "No")</f>
        <v>0</v>
      </c>
      <c r="F96">
        <f>SUM(B96:D96)</f>
        <v>4</v>
      </c>
    </row>
    <row r="97" spans="1:6" x14ac:dyDescent="0.25">
      <c r="A97" t="s">
        <v>247</v>
      </c>
      <c r="B97">
        <f>COUNTIFS(Sheet4!$E$2:$E$46, "Yes", Sheet4!$AE$2:$AE$46, "~?")</f>
        <v>1</v>
      </c>
      <c r="C97">
        <f>COUNTIFS(Sheet4!$E$2:$E$46, "No", Sheet4!$AE$2:$AE$46, "~?")</f>
        <v>1</v>
      </c>
      <c r="D97">
        <f>COUNTIFS(Sheet4!$E$2:$E$46, "n./a.", Sheet4!$AE$2:$AE$46, "~?")</f>
        <v>1</v>
      </c>
      <c r="F97">
        <f>SUM(B97:D97)</f>
        <v>3</v>
      </c>
    </row>
    <row r="98" spans="1:6" x14ac:dyDescent="0.25">
      <c r="A98" t="s">
        <v>36</v>
      </c>
      <c r="B98">
        <f>COUNTIFS(Sheet4!$E$2:$E$46, "Yes", Sheet4!$AE$2:$AE$46, "-")</f>
        <v>11</v>
      </c>
      <c r="C98">
        <f>COUNTIFS(Sheet4!$E$2:$E$46, "No", Sheet4!$AE$2:$AE$46, "-")</f>
        <v>12</v>
      </c>
      <c r="D98">
        <f>COUNTIFS(Sheet4!$E$2:$E$46, "n./a.", Sheet4!$AE$2:$AE$46, "-")</f>
        <v>0</v>
      </c>
      <c r="F98">
        <f>SUM(B98:D98)</f>
        <v>23</v>
      </c>
    </row>
    <row r="99" spans="1:6" x14ac:dyDescent="0.25">
      <c r="F99">
        <f>SUM(F95:F98)</f>
        <v>45</v>
      </c>
    </row>
  </sheetData>
  <mergeCells count="11">
    <mergeCell ref="A92:D92"/>
    <mergeCell ref="A12:E12"/>
    <mergeCell ref="A21:E21"/>
    <mergeCell ref="A29:E29"/>
    <mergeCell ref="A37:E37"/>
    <mergeCell ref="A45:D45"/>
    <mergeCell ref="A52:D52"/>
    <mergeCell ref="A60:D60"/>
    <mergeCell ref="A67:D67"/>
    <mergeCell ref="A75:D75"/>
    <mergeCell ref="A83:D8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Old graphs</vt:lpstr>
      <vt:lpstr>Lag graphs</vt:lpstr>
      <vt:lpstr>Patent validity graphs</vt:lpstr>
      <vt:lpstr>FRAND pools and worldwide</vt:lpstr>
      <vt:lpstr>FromPython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Marcelo Bergallo</dc:creator>
  <cp:lastModifiedBy>Santiago Marcelo Bergallo</cp:lastModifiedBy>
  <dcterms:created xsi:type="dcterms:W3CDTF">2023-10-04T15:50:20Z</dcterms:created>
  <dcterms:modified xsi:type="dcterms:W3CDTF">2024-03-12T20:44:52Z</dcterms:modified>
</cp:coreProperties>
</file>