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202300"/>
  <mc:AlternateContent xmlns:mc="http://schemas.openxmlformats.org/markup-compatibility/2006">
    <mc:Choice Requires="x15">
      <x15ac:absPath xmlns:x15ac="http://schemas.microsoft.com/office/spreadsheetml/2010/11/ac" url="C:\Users\berga\Dropbox\Espacio familiar\Back-end\Data library\Judicial_documents\DE_Germany\"/>
    </mc:Choice>
  </mc:AlternateContent>
  <xr:revisionPtr revIDLastSave="0" documentId="13_ncr:1_{99F308C8-F4AE-43E5-835A-FFEF02210950}" xr6:coauthVersionLast="47" xr6:coauthVersionMax="47" xr10:uidLastSave="{00000000-0000-0000-0000-000000000000}"/>
  <bookViews>
    <workbookView xWindow="-120" yWindow="-120" windowWidth="29040" windowHeight="15720" xr2:uid="{E4258D65-8A0C-4017-8A9D-E82CFA535831}"/>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2" i="1" l="1"/>
  <c r="D55" i="2"/>
  <c r="C55" i="2"/>
  <c r="B55" i="2"/>
  <c r="P82" i="1"/>
  <c r="O82" i="1"/>
  <c r="Q78" i="1" l="1"/>
  <c r="Q77" i="1"/>
  <c r="Q76" i="1"/>
  <c r="Q75" i="1"/>
  <c r="O75" i="1"/>
  <c r="P75" i="1"/>
  <c r="P77" i="1" s="1"/>
  <c r="P78" i="1" s="1"/>
  <c r="O76" i="1"/>
  <c r="O77" i="1" s="1"/>
  <c r="O78" i="1" s="1"/>
  <c r="P76" i="1"/>
  <c r="C50" i="2"/>
  <c r="C49" i="2"/>
  <c r="B52" i="2"/>
  <c r="B51" i="2"/>
  <c r="A50" i="2"/>
  <c r="A49" i="2"/>
  <c r="A52" i="2" l="1"/>
  <c r="A51" i="2"/>
  <c r="K79" i="1" l="1"/>
  <c r="K78" i="1"/>
  <c r="L78" i="1"/>
  <c r="L79" i="1"/>
  <c r="L76" i="1"/>
  <c r="L75" i="1"/>
  <c r="K76" i="1"/>
  <c r="K75" i="1"/>
  <c r="D86" i="1"/>
  <c r="D84" i="1"/>
  <c r="E86" i="1"/>
  <c r="E84" i="1"/>
  <c r="C86" i="1"/>
  <c r="C84" i="1"/>
  <c r="E79" i="1"/>
  <c r="D79" i="1"/>
  <c r="E76" i="1"/>
  <c r="D76" i="1"/>
  <c r="E75" i="1"/>
  <c r="D75" i="1"/>
  <c r="B76" i="1"/>
  <c r="C77" i="1"/>
  <c r="C76" i="1"/>
  <c r="C7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tc={5E9A4D49-5084-4DBD-9997-FEF1593239BA}</author>
    <author>tc={6A78B186-67ED-4BB8-AE80-92597D021173}</author>
    <author>tc={B2A0C897-B6FF-411E-9074-47B35CDD27D1}</author>
    <author>tc={DE67F465-72BE-4AAE-ACF2-36A050E826B9}</author>
    <author>tc={4A6615CF-0BBA-4DC2-AE32-B958D6BF2FC7}</author>
    <author>tc={7EECA712-DC6C-462A-8ADB-5DE8B4490FA7}</author>
    <author>tc={6249A4DD-8FFF-4AE2-8C77-E0693B9EB4AD}</author>
    <author>tc={709E0CC8-5821-4F07-B148-A9BBC6CA24B1}</author>
    <author>tc={DDC1592F-4495-4803-9630-F46394FCDF5A}</author>
    <author>tc={5C2D2FEF-9188-4CD6-B405-5A5106A435FB}</author>
    <author>tc={6979EF1C-5CDB-4808-AB0A-FD5C0A4E759B}</author>
    <author>tc={80267631-E643-450E-BFBE-D4D1410D154A}</author>
    <author>tc={76DF1F29-776C-4835-81C3-80E1383318F3}</author>
    <author>tc={323F0811-609F-456A-BFDA-987F30013445}</author>
    <author>tc={DB02F27A-7601-472E-9029-267ABCDD10FD}</author>
  </authors>
  <commentList>
    <comment ref="A12" authorId="0" shapeId="0" xr:uid="{5E9A4D49-5084-4DBD-9997-FEF1593239BA}">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A16" authorId="1" shapeId="0" xr:uid="{6A78B186-67ED-4BB8-AE80-92597D021173}">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D18" authorId="2" shapeId="0" xr:uid="{B2A0C897-B6FF-411E-9074-47B35CDD27D1}">
      <text>
        <t>[Threaded comment]
Your version of Excel allows you to read this threaded comment; however, any edits to it will get removed if the file is opened in a newer version of Excel. Learn more: https://go.microsoft.com/fwlink/?linkid=870924
Comment:
    Used to be ?
Then 1?</t>
      </text>
    </comment>
    <comment ref="A24" authorId="3" shapeId="0" xr:uid="{DE67F465-72BE-4AAE-ACF2-36A050E826B9}">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A25" authorId="4" shapeId="0" xr:uid="{4A6615CF-0BBA-4DC2-AE32-B958D6BF2FC7}">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C26" authorId="5" shapeId="0" xr:uid="{7EECA712-DC6C-462A-8ADB-5DE8B4490FA7}">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 ref="C28" authorId="6" shapeId="0" xr:uid="{6249A4DD-8FFF-4AE2-8C77-E0693B9EB4AD}">
      <text>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text>
    </comment>
    <comment ref="A29" authorId="7" shapeId="0" xr:uid="{709E0CC8-5821-4F07-B148-A9BBC6CA24B1}">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A30" authorId="8" shapeId="0" xr:uid="{DDC1592F-4495-4803-9630-F46394FCDF5A}">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C30" authorId="9" shapeId="0" xr:uid="{5C2D2FEF-9188-4CD6-B405-5A5106A435FB}">
      <text>
        <t>[Threaded comment]
Your version of Excel allows you to read this threaded comment; however, any edits to it will get removed if the file is opened in a newer version of Excel. Learn more: https://go.microsoft.com/fwlink/?linkid=870924
Comment:
    Apparently, there was no decision/outcome</t>
      </text>
    </comment>
    <comment ref="D36" authorId="10" shapeId="0" xr:uid="{6979EF1C-5CDB-4808-AB0A-FD5C0A4E759B}">
      <text>
        <t>[Threaded comment]
Your version of Excel allows you to read this threaded comment; however, any edits to it will get removed if the file is opened in a newer version of Excel. Learn more: https://go.microsoft.com/fwlink/?linkid=870924
Comment:
    Used to be ?
Then 1?</t>
      </text>
    </comment>
    <comment ref="A37" authorId="11" shapeId="0" xr:uid="{80267631-E643-450E-BFBE-D4D1410D154A}">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A38" authorId="12" shapeId="0" xr:uid="{76DF1F29-776C-4835-81C3-80E1383318F3}">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C39" authorId="13" shapeId="0" xr:uid="{323F0811-609F-456A-BFDA-987F30013445}">
      <text>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text>
    </comment>
    <comment ref="A44" authorId="14" shapeId="0" xr:uid="{DB02F27A-7601-472E-9029-267ABCDD10FD}">
      <text>
        <t>[Threaded comment]
Your version of Excel allows you to read this threaded comment; however, any edits to it will get removed if the file is opened in a newer version of Excel. Learn more: https://go.microsoft.com/fwlink/?linkid=870924
Comment:
    Siete 33, VI.</t>
      </text>
    </comment>
  </commentList>
</comments>
</file>

<file path=xl/sharedStrings.xml><?xml version="1.0" encoding="utf-8"?>
<sst xmlns="http://schemas.openxmlformats.org/spreadsheetml/2006/main" count="876" uniqueCount="112">
  <si>
    <t>Aktenzeichen</t>
  </si>
  <si>
    <t>Landgericht</t>
  </si>
  <si>
    <t>4a O 144/14</t>
  </si>
  <si>
    <t>Duesseldorf</t>
  </si>
  <si>
    <t>4a O 126/14</t>
  </si>
  <si>
    <t>4a O 73/14</t>
  </si>
  <si>
    <t>4a O 16/16</t>
  </si>
  <si>
    <t>4a O 35/16</t>
  </si>
  <si>
    <t>4c O 72/17</t>
  </si>
  <si>
    <t>4c O 77/17</t>
  </si>
  <si>
    <t>4a O 15/17</t>
  </si>
  <si>
    <t>4c O 3/17</t>
  </si>
  <si>
    <t>4a O 17/17</t>
  </si>
  <si>
    <t>4c O 81/17</t>
  </si>
  <si>
    <t>4c O 12/17</t>
  </si>
  <si>
    <t>4c O 44/18</t>
  </si>
  <si>
    <t>4c O 56/18</t>
  </si>
  <si>
    <t>4c O 69/18</t>
  </si>
  <si>
    <t>7 O 96/14</t>
  </si>
  <si>
    <t>Mannheim</t>
  </si>
  <si>
    <t>7 O 66/15</t>
  </si>
  <si>
    <t>7 O 115/16</t>
  </si>
  <si>
    <t>7 O 165/16</t>
  </si>
  <si>
    <t>7 O 19/16</t>
  </si>
  <si>
    <t>7 O 209/15</t>
  </si>
  <si>
    <t>7 O 18/17</t>
  </si>
  <si>
    <t>2 O 136/18</t>
  </si>
  <si>
    <t>2 O 131/19</t>
  </si>
  <si>
    <t>2 O 34/19</t>
  </si>
  <si>
    <t>7 O 15350/19</t>
  </si>
  <si>
    <t>Munich</t>
  </si>
  <si>
    <t>2 O 75/21</t>
  </si>
  <si>
    <t>7 O 28/16</t>
  </si>
  <si>
    <t>2 O 106/14</t>
  </si>
  <si>
    <t>21 O 11522/21</t>
  </si>
  <si>
    <t>21 O 1910/22</t>
  </si>
  <si>
    <t>21 O 4140/21</t>
  </si>
  <si>
    <t>7 O 8818/19</t>
  </si>
  <si>
    <t>4a O 27/16</t>
  </si>
  <si>
    <t>4a O 154/15</t>
  </si>
  <si>
    <t>14d O 13/17</t>
  </si>
  <si>
    <t>7 O 38/14</t>
  </si>
  <si>
    <t>7 O 24/14</t>
  </si>
  <si>
    <t>7 O 26/14</t>
  </si>
  <si>
    <t>7 O 43/16</t>
  </si>
  <si>
    <t>7 O 44/16</t>
  </si>
  <si>
    <t>7 O 212/15</t>
  </si>
  <si>
    <t>7 O 31/16</t>
  </si>
  <si>
    <t>2 O 98/16</t>
  </si>
  <si>
    <t>4a O 63/17</t>
  </si>
  <si>
    <t>4b O 4/17</t>
  </si>
  <si>
    <t>4b O 5/17</t>
  </si>
  <si>
    <t>4b O 15/17</t>
  </si>
  <si>
    <t>4b O 16/17</t>
  </si>
  <si>
    <t>4b O 30/18</t>
  </si>
  <si>
    <t>21 O 8879/21</t>
  </si>
  <si>
    <t>4a O 16/17</t>
  </si>
  <si>
    <t>21 O 8890/21</t>
  </si>
  <si>
    <t>21 O 8891/21</t>
  </si>
  <si>
    <t>4c O 42/20</t>
  </si>
  <si>
    <t>4a O 93/14</t>
  </si>
  <si>
    <t>7 O 238/15</t>
  </si>
  <si>
    <t>7 O 29/16</t>
  </si>
  <si>
    <t>7 O 32/16</t>
  </si>
  <si>
    <t>21 O 3891/19</t>
  </si>
  <si>
    <t>21 O 11384/19</t>
  </si>
  <si>
    <t>21 O 13026/19</t>
  </si>
  <si>
    <t>7 O 14091/19</t>
  </si>
  <si>
    <t>21 O 1890/22</t>
  </si>
  <si>
    <t>21 O 5693/22</t>
  </si>
  <si>
    <t>4b O 91/18</t>
  </si>
  <si>
    <t>4b O 23/20</t>
  </si>
  <si>
    <t>4b O 49/20</t>
  </si>
  <si>
    <t>4b O 83/19</t>
  </si>
  <si>
    <t>7 O 97/14</t>
  </si>
  <si>
    <t>4b O 6/19</t>
  </si>
  <si>
    <t>Entscheidung (Untrelassung)</t>
  </si>
  <si>
    <t>Yes</t>
  </si>
  <si>
    <t>No</t>
  </si>
  <si>
    <t>Further proceedings</t>
  </si>
  <si>
    <t>OLG Appeal</t>
  </si>
  <si>
    <t>Result of the appeal</t>
  </si>
  <si>
    <t>OLG First instance</t>
  </si>
  <si>
    <t>Result of the f.instance</t>
  </si>
  <si>
    <t>Bundesgerichtshof</t>
  </si>
  <si>
    <t>Result of the Judicial Review</t>
  </si>
  <si>
    <t>Reversed in part</t>
  </si>
  <si>
    <t>LG mirrored</t>
  </si>
  <si>
    <t>Upheld</t>
  </si>
  <si>
    <t>-</t>
  </si>
  <si>
    <t>Withdrawn</t>
  </si>
  <si>
    <t>Reversed and remand</t>
  </si>
  <si>
    <t>Same</t>
  </si>
  <si>
    <t>Reversed</t>
  </si>
  <si>
    <t>UpheldNot found</t>
  </si>
  <si>
    <t>Rejected the application for temporarily stop</t>
  </si>
  <si>
    <t>Not found</t>
  </si>
  <si>
    <t>Prehuawei</t>
  </si>
  <si>
    <t>Courts (no further proceedings)</t>
  </si>
  <si>
    <t>Offers (no further proceedings)</t>
  </si>
  <si>
    <t>Contact (no further proceedings)</t>
  </si>
  <si>
    <t>Transition cases</t>
  </si>
  <si>
    <t>Post-Huawei</t>
  </si>
  <si>
    <t>Injunction</t>
  </si>
  <si>
    <t>No inj</t>
  </si>
  <si>
    <t>Appeal</t>
  </si>
  <si>
    <t>No appeal</t>
  </si>
  <si>
    <t>n./a.</t>
  </si>
  <si>
    <t>Upheld?</t>
  </si>
  <si>
    <t>?</t>
  </si>
  <si>
    <t>Appealed</t>
  </si>
  <si>
    <t>Inj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</si>
</sst>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indexed="81"/>
      <name val="Tahoma"/>
      <charset val="1"/>
    </font>
    <font>
      <sz val="11"/>
      <color rgb="FF000000"/>
      <name val="Aptos Narrow"/>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2" fillId="0" borderId="0" xfId="0" applyFont="1"/>
    <xf numFmtId="0" fontId="0" fillId="3" borderId="0" xfId="0" applyFill="1"/>
    <xf numFmtId="0" fontId="2" fillId="3" borderId="0" xfId="0" applyFont="1" applyFill="1"/>
  </cellXfs>
  <cellStyles count="1">
    <cellStyle name="Normal" xfId="0" builtinId="0"/>
  </cellStyles>
  <dxfs count="4">
    <dxf>
      <fill>
        <patternFill>
          <bgColor rgb="FF92D050"/>
        </patternFill>
      </fill>
    </dxf>
    <dxf>
      <fill>
        <patternFill>
          <bgColor rgb="FF92D05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antiago Marcelo Bergallo" id="{52EEBCF4-1DF0-489E-B87B-BA45FF4B6CED}" userId="321b6dccdbf057a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2" dT="2023-10-10T09:25:17.72" personId="{52EEBCF4-1DF0-489E-B87B-BA45FF4B6CED}" id="{5E9A4D49-5084-4DBD-9997-FEF1593239BA}">
    <text xml:space="preserve">Die Klägerin macht – nachdem die Parteien den Rechtsstreit übereinstimmend im Hinblick auf den ursprünglich auch geltend gemachten Unterlassungsanspruch teilweise für erledigt erklärt haben – </text>
  </threadedComment>
  <threadedComment ref="A12" dT="2023-11-22T16:37:59.82" personId="{52EEBCF4-1DF0-489E-B87B-BA45FF4B6CED}" id="{8B23469C-D013-4CB1-99D0-A67B7481552B}" parentId="{5E9A4D49-5084-4DBD-9997-FEF1593239BA}">
    <text>(patent expired, so no injunction issued; but court is explicit in that plaintiff had a right to request the injunction when it did)
Justus</text>
  </threadedComment>
  <threadedComment ref="A16" dT="2023-10-10T09:21:19.54" personId="{52EEBCF4-1DF0-489E-B87B-BA45FF4B6CED}" id="{6A78B186-67ED-4BB8-AE80-92597D021173}">
    <text>Das Verfahren wird ausgesetzt.</text>
  </threadedComment>
  <threadedComment ref="A16" dT="2023-11-22T16:38:27.43" personId="{52EEBCF4-1DF0-489E-B87B-BA45FF4B6CED}" id="{E830AE33-E7F0-492A-9554-AF40EEAE25E9}" parentId="{6A78B186-67ED-4BB8-AE80-92597D021173}">
    <text>{referred to CJEU, settled before decision}
Justus</text>
  </threadedComment>
  <threadedComment ref="D18" dT="2023-12-15T12:23:17.01" personId="{52EEBCF4-1DF0-489E-B87B-BA45FF4B6CED}" id="{B2A0C897-B6FF-411E-9074-47B35CDD27D1}">
    <text>Used to be ?
Then 1?</text>
  </threadedComment>
  <threadedComment ref="A24" dT="2023-10-10T10:02:41.27" personId="{52EEBCF4-1DF0-489E-B87B-BA45FF4B6CED}" id="{DE67F465-72BE-4AAE-ACF2-36A050E826B9}">
    <text xml:space="preserve">BEIM FRAND-EINWAND </text>
  </threadedComment>
  <threadedComment ref="A24" dT="2023-10-10T10:03:36.65" personId="{52EEBCF4-1DF0-489E-B87B-BA45FF4B6CED}" id="{829A81DD-62DE-4AC0-AF20-AEEDE30C0452}" parentId="{DE67F465-72BE-4AAE-ACF2-36A050E826B9}">
    <text>(NO Kather version)</text>
  </threadedComment>
  <threadedComment ref="A25" dT="2023-10-10T10:11:20.41" personId="{52EEBCF4-1DF0-489E-B87B-BA45FF4B6CED}" id="{4A6615CF-0BBA-4DC2-AE32-B958D6BF2FC7}">
    <text>Mentions of Patent Holder position and maybe FRAND-Einwand</text>
  </threadedComment>
  <threadedComment ref="A25" dT="2023-10-10T10:11:32.50" personId="{52EEBCF4-1DF0-489E-B87B-BA45FF4B6CED}" id="{D4CC0521-F10F-42EC-BAEF-A5A92183DB3D}" parentId="{4A6615CF-0BBA-4DC2-AE32-B958D6BF2FC7}">
    <text>[…] mangels Lizenzwilligkeit kein FRAND-Einwand zu</text>
  </threadedComment>
  <threadedComment ref="A25" dT="2023-10-10T10:11:49.37" personId="{52EEBCF4-1DF0-489E-B87B-BA45FF4B6CED}" id="{4A4D9658-D4D3-4AE2-89D4-E588BBD7D192}" parentId="{4A6615CF-0BBA-4DC2-AE32-B958D6BF2FC7}">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C26" dT="2023-11-24T10:49:19.64" personId="{52EEBCF4-1DF0-489E-B87B-BA45FF4B6CED}" id="{7EECA712-DC6C-462A-8ADB-5DE8B4490FA7}">
    <text>Apparently, upheld (same winners and losers)</text>
  </threadedComment>
  <threadedComment ref="C28" dT="2023-11-24T10:53:10.03" personId="{52EEBCF4-1DF0-489E-B87B-BA45FF4B6CED}" id="{6249A4DD-8FFF-4AE2-8C77-E0693B9EB4AD}">
    <text>Not provided by Darts, interpretation.
Der Antrag der Beklagten, die Zwangsvollstreckung aus dem Urteil des Landgerichts Mannheim vom 5. Juli 
2022, Az. 2 O 75/21, einstweilen einzustellen, wird zurückgewiesen.</text>
  </threadedComment>
  <threadedComment ref="A29" dT="2023-10-10T13:12:12.95" personId="{52EEBCF4-1DF0-489E-B87B-BA45FF4B6CED}" id="{709E0CC8-5821-4F07-B148-A9BBC6CA24B1}">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A29" dT="2023-10-10T13:13:28.06" personId="{52EEBCF4-1DF0-489E-B87B-BA45FF4B6CED}" id="{673CA9CA-1549-4A76-918F-F866ACAA57B5}" parentId="{709E0CC8-5821-4F07-B148-A9BBC6CA24B1}">
    <text xml:space="preserve">Die Klage ist als derzeit unbegrundet abzuweisen, soweit die Klagerin von der Beklagten Unterlassung, Ruckruf und Entfernung aus den Vertriebswegen sowie die Vernichtung patentverletzender Produkte </text>
  </threadedComment>
  <threadedComment ref="A30" dT="2023-11-17T23:30:02.76" personId="{52EEBCF4-1DF0-489E-B87B-BA45FF4B6CED}" id="{DDC1592F-4495-4803-9630-F46394FCDF5A}">
    <text>I am NOT sure why I found it to be an injunction. While studying it more, I would say it may be a NO.</text>
  </threadedComment>
  <threadedComment ref="A30" dT="2023-11-20T13:55:27.31" personId="{52EEBCF4-1DF0-489E-B87B-BA45FF4B6CED}" id="{E14F6A20-45CE-4E8C-BA04-9F35BC2E791A}" parentId="{DDC1592F-4495-4803-9630-F46394FCDF5A}">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A30" dT="2023-11-22T16:25:26.97" personId="{52EEBCF4-1DF0-489E-B87B-BA45FF4B6CED}" id="{CACE9D16-EE6F-442C-8FEC-282993781B4A}" parentId="{DDC1592F-4495-4803-9630-F46394FCDF5A}">
    <text>Justus said YES</text>
  </threadedComment>
  <threadedComment ref="C30" dT="2023-11-24T10:10:48.23" personId="{52EEBCF4-1DF0-489E-B87B-BA45FF4B6CED}" id="{5C2D2FEF-9188-4CD6-B405-5A5106A435FB}">
    <text>Apparently, there was no decision/outcome</text>
  </threadedComment>
  <threadedComment ref="D36" dT="2023-12-15T12:23:17.01" personId="{52EEBCF4-1DF0-489E-B87B-BA45FF4B6CED}" id="{6979EF1C-5CDB-4808-AB0A-FD5C0A4E759B}">
    <text>Used to be ?
Then 1?</text>
  </threadedComment>
  <threadedComment ref="A37" dT="2023-10-10T18:56:17.06" personId="{52EEBCF4-1DF0-489E-B87B-BA45FF4B6CED}" id="{80267631-E643-450E-BFBE-D4D1410D154A}">
    <text>.17
Der Antrag auf Erlass einer einstweiligen Verfügung ist zulässig (I.) und begründet (II). 
.29
.41</text>
  </threadedComment>
  <threadedComment ref="A37" dT="2023-10-10T18:56:31.43" personId="{52EEBCF4-1DF0-489E-B87B-BA45FF4B6CED}" id="{3B93D85C-81B0-4036-ACBC-E52ACF633788}" parentId="{80267631-E643-450E-BFBE-D4D1410D154A}">
    <text>Bei den in § 33 Abs. 1 GWB geregelten Unterlassungs- und Beseitigungsansprüchen handelt
es sich um Ansprüche aus unerlaubter Handlung.</text>
  </threadedComment>
  <threadedComment ref="A37" dT="2023-11-22T16:27:12.97" personId="{52EEBCF4-1DF0-489E-B87B-BA45FF4B6CED}" id="{2A2EAC27-2E96-42C9-8AB1-C8675B8E5037}" parentId="{80267631-E643-450E-BFBE-D4D1410D154A}">
    <text>NO {the order here is reversed; the implementer successfully sues for a customs ban to be lifted}
Justus</text>
  </threadedComment>
  <threadedComment ref="A38" dT="2023-11-22T16:29:12.68" personId="{52EEBCF4-1DF0-489E-B87B-BA45FF4B6CED}" id="{76DF1F29-776C-4835-81C3-80E1383318F3}">
    <text>{because retracted}
No?
Justus</text>
  </threadedComment>
  <threadedComment ref="A38" dT="2023-11-30T19:27:39.81" personId="{52EEBCF4-1DF0-489E-B87B-BA45FF4B6CED}" id="{03E057BB-6B2C-4323-AAC1-C51AEA35F71F}" parentId="{76DF1F29-776C-4835-81C3-80E1383318F3}">
    <text>Changed to No for the graphs</text>
  </threadedComment>
  <threadedComment ref="C39" dT="2023-11-24T10:11:55.47" personId="{52EEBCF4-1DF0-489E-B87B-BA45FF4B6CED}" id="{323F0811-609F-456A-BFDA-987F30013445}">
    <text>Reversed in part? No explicit mention, but both parties are recognised as winners.</text>
  </threadedComment>
  <threadedComment ref="A44" dT="2023-11-21T18:50:28.28" personId="{52EEBCF4-1DF0-489E-B87B-BA45FF4B6CED}" id="{DB02F27A-7601-472E-9029-267ABCDD10FD}">
    <text>Siete 33, VI.</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ED4F-F73A-4538-BAE0-96CEE1708CF4}">
  <dimension ref="A1:Q86"/>
  <sheetViews>
    <sheetView tabSelected="1" topLeftCell="A52" workbookViewId="0">
      <selection activeCell="D2" sqref="D2"/>
    </sheetView>
  </sheetViews>
  <sheetFormatPr defaultRowHeight="14.4" x14ac:dyDescent="0.3"/>
  <sheetData>
    <row r="1" spans="1:11" x14ac:dyDescent="0.3">
      <c r="A1" t="s">
        <v>0</v>
      </c>
      <c r="B1" t="s">
        <v>1</v>
      </c>
      <c r="C1" t="s">
        <v>76</v>
      </c>
      <c r="D1" t="s">
        <v>97</v>
      </c>
      <c r="E1" t="s">
        <v>79</v>
      </c>
      <c r="F1" t="s">
        <v>80</v>
      </c>
      <c r="G1" t="s">
        <v>81</v>
      </c>
      <c r="H1" t="s">
        <v>82</v>
      </c>
      <c r="I1" t="s">
        <v>83</v>
      </c>
      <c r="J1" t="s">
        <v>84</v>
      </c>
      <c r="K1" t="s">
        <v>85</v>
      </c>
    </row>
    <row r="2" spans="1:11" x14ac:dyDescent="0.3">
      <c r="A2" t="s">
        <v>2</v>
      </c>
      <c r="B2" t="s">
        <v>3</v>
      </c>
      <c r="C2" t="s">
        <v>77</v>
      </c>
      <c r="D2">
        <v>1</v>
      </c>
      <c r="E2" t="s">
        <v>77</v>
      </c>
      <c r="F2" t="s">
        <v>77</v>
      </c>
      <c r="G2" s="3" t="s">
        <v>86</v>
      </c>
      <c r="H2" t="s">
        <v>77</v>
      </c>
      <c r="I2" t="s">
        <v>87</v>
      </c>
      <c r="J2" t="s">
        <v>77</v>
      </c>
      <c r="K2" t="s">
        <v>86</v>
      </c>
    </row>
    <row r="3" spans="1:11" x14ac:dyDescent="0.3">
      <c r="A3" t="s">
        <v>4</v>
      </c>
      <c r="B3" t="s">
        <v>3</v>
      </c>
      <c r="C3" t="s">
        <v>77</v>
      </c>
      <c r="D3">
        <v>1</v>
      </c>
      <c r="E3" t="s">
        <v>77</v>
      </c>
      <c r="F3" t="s">
        <v>77</v>
      </c>
      <c r="G3" t="s">
        <v>88</v>
      </c>
      <c r="H3" t="s">
        <v>78</v>
      </c>
      <c r="I3" t="s">
        <v>89</v>
      </c>
      <c r="J3" t="s">
        <v>78</v>
      </c>
      <c r="K3" t="s">
        <v>89</v>
      </c>
    </row>
    <row r="4" spans="1:11" x14ac:dyDescent="0.3">
      <c r="A4" t="s">
        <v>5</v>
      </c>
      <c r="B4" t="s">
        <v>3</v>
      </c>
      <c r="C4" t="s">
        <v>77</v>
      </c>
      <c r="D4">
        <v>1</v>
      </c>
      <c r="E4" t="s">
        <v>77</v>
      </c>
      <c r="F4" t="s">
        <v>77</v>
      </c>
      <c r="G4" t="s">
        <v>88</v>
      </c>
      <c r="H4" t="s">
        <v>78</v>
      </c>
      <c r="I4" t="s">
        <v>89</v>
      </c>
      <c r="J4" t="s">
        <v>78</v>
      </c>
      <c r="K4" t="s">
        <v>89</v>
      </c>
    </row>
    <row r="5" spans="1:11" x14ac:dyDescent="0.3">
      <c r="A5" t="s">
        <v>6</v>
      </c>
      <c r="B5" t="s">
        <v>3</v>
      </c>
      <c r="C5" t="s">
        <v>78</v>
      </c>
      <c r="E5" t="s">
        <v>78</v>
      </c>
      <c r="F5" t="s">
        <v>78</v>
      </c>
      <c r="G5" t="s">
        <v>89</v>
      </c>
      <c r="H5" t="s">
        <v>78</v>
      </c>
      <c r="I5" t="s">
        <v>89</v>
      </c>
      <c r="J5" t="s">
        <v>78</v>
      </c>
      <c r="K5" t="s">
        <v>89</v>
      </c>
    </row>
    <row r="6" spans="1:11" x14ac:dyDescent="0.3">
      <c r="A6" t="s">
        <v>7</v>
      </c>
      <c r="B6" t="s">
        <v>3</v>
      </c>
      <c r="C6" t="s">
        <v>78</v>
      </c>
      <c r="E6" t="s">
        <v>78</v>
      </c>
      <c r="F6" t="s">
        <v>78</v>
      </c>
      <c r="G6" t="s">
        <v>89</v>
      </c>
      <c r="H6" t="s">
        <v>78</v>
      </c>
      <c r="I6" t="s">
        <v>89</v>
      </c>
      <c r="J6" t="s">
        <v>78</v>
      </c>
      <c r="K6" t="s">
        <v>89</v>
      </c>
    </row>
    <row r="7" spans="1:11" x14ac:dyDescent="0.3">
      <c r="A7" t="s">
        <v>8</v>
      </c>
      <c r="B7" t="s">
        <v>3</v>
      </c>
      <c r="C7" t="s">
        <v>78</v>
      </c>
      <c r="E7" t="s">
        <v>78</v>
      </c>
      <c r="F7" t="s">
        <v>78</v>
      </c>
      <c r="G7" t="s">
        <v>89</v>
      </c>
      <c r="H7" t="s">
        <v>78</v>
      </c>
      <c r="I7" t="s">
        <v>89</v>
      </c>
      <c r="J7" t="s">
        <v>78</v>
      </c>
      <c r="K7" t="s">
        <v>89</v>
      </c>
    </row>
    <row r="8" spans="1:11" x14ac:dyDescent="0.3">
      <c r="A8" t="s">
        <v>9</v>
      </c>
      <c r="B8" t="s">
        <v>3</v>
      </c>
      <c r="C8" t="s">
        <v>78</v>
      </c>
      <c r="E8" t="s">
        <v>78</v>
      </c>
      <c r="F8" t="s">
        <v>78</v>
      </c>
      <c r="G8" t="s">
        <v>89</v>
      </c>
      <c r="H8" t="s">
        <v>78</v>
      </c>
      <c r="I8" t="s">
        <v>89</v>
      </c>
      <c r="J8" t="s">
        <v>78</v>
      </c>
      <c r="K8" t="s">
        <v>89</v>
      </c>
    </row>
    <row r="9" spans="1:11" x14ac:dyDescent="0.3">
      <c r="A9" t="s">
        <v>10</v>
      </c>
      <c r="B9" t="s">
        <v>3</v>
      </c>
      <c r="C9" t="s">
        <v>77</v>
      </c>
      <c r="E9" t="s">
        <v>78</v>
      </c>
      <c r="F9" t="s">
        <v>78</v>
      </c>
      <c r="G9" t="s">
        <v>89</v>
      </c>
      <c r="H9" t="s">
        <v>78</v>
      </c>
      <c r="I9" t="s">
        <v>89</v>
      </c>
      <c r="J9" t="s">
        <v>78</v>
      </c>
      <c r="K9" t="s">
        <v>89</v>
      </c>
    </row>
    <row r="10" spans="1:11" x14ac:dyDescent="0.3">
      <c r="A10" t="s">
        <v>11</v>
      </c>
      <c r="B10" t="s">
        <v>3</v>
      </c>
      <c r="C10" t="s">
        <v>77</v>
      </c>
      <c r="E10" t="s">
        <v>78</v>
      </c>
      <c r="F10" t="s">
        <v>78</v>
      </c>
      <c r="G10" t="s">
        <v>89</v>
      </c>
      <c r="H10" t="s">
        <v>78</v>
      </c>
      <c r="I10" t="s">
        <v>89</v>
      </c>
      <c r="J10" t="s">
        <v>78</v>
      </c>
      <c r="K10" t="s">
        <v>89</v>
      </c>
    </row>
    <row r="11" spans="1:11" x14ac:dyDescent="0.3">
      <c r="A11" t="s">
        <v>12</v>
      </c>
      <c r="B11" t="s">
        <v>3</v>
      </c>
      <c r="C11" t="s">
        <v>77</v>
      </c>
      <c r="E11" t="s">
        <v>77</v>
      </c>
      <c r="F11" t="s">
        <v>77</v>
      </c>
      <c r="G11" t="s">
        <v>90</v>
      </c>
      <c r="H11" t="s">
        <v>78</v>
      </c>
      <c r="I11" t="s">
        <v>89</v>
      </c>
      <c r="J11" t="s">
        <v>78</v>
      </c>
      <c r="K11" t="s">
        <v>89</v>
      </c>
    </row>
    <row r="12" spans="1:11" x14ac:dyDescent="0.3">
      <c r="A12" t="s">
        <v>13</v>
      </c>
      <c r="B12" t="s">
        <v>3</v>
      </c>
      <c r="C12" t="s">
        <v>78</v>
      </c>
      <c r="E12" t="s">
        <v>77</v>
      </c>
      <c r="F12" t="s">
        <v>77</v>
      </c>
      <c r="G12" s="3" t="s">
        <v>91</v>
      </c>
      <c r="H12" t="s">
        <v>78</v>
      </c>
      <c r="I12" t="s">
        <v>89</v>
      </c>
      <c r="J12" t="s">
        <v>78</v>
      </c>
      <c r="K12" t="s">
        <v>89</v>
      </c>
    </row>
    <row r="13" spans="1:11" x14ac:dyDescent="0.3">
      <c r="A13" t="s">
        <v>14</v>
      </c>
      <c r="B13" t="s">
        <v>3</v>
      </c>
      <c r="C13" t="s">
        <v>77</v>
      </c>
      <c r="E13" t="s">
        <v>78</v>
      </c>
      <c r="F13" t="s">
        <v>78</v>
      </c>
      <c r="G13" t="s">
        <v>89</v>
      </c>
      <c r="H13" t="s">
        <v>78</v>
      </c>
      <c r="I13" t="s">
        <v>89</v>
      </c>
      <c r="J13" t="s">
        <v>78</v>
      </c>
      <c r="K13" t="s">
        <v>89</v>
      </c>
    </row>
    <row r="14" spans="1:11" x14ac:dyDescent="0.3">
      <c r="A14" t="s">
        <v>15</v>
      </c>
      <c r="B14" t="s">
        <v>3</v>
      </c>
      <c r="C14" t="s">
        <v>77</v>
      </c>
      <c r="E14" t="s">
        <v>77</v>
      </c>
      <c r="F14" t="s">
        <v>78</v>
      </c>
      <c r="G14" t="s">
        <v>89</v>
      </c>
      <c r="H14" t="s">
        <v>77</v>
      </c>
      <c r="I14" t="s">
        <v>92</v>
      </c>
      <c r="J14" t="s">
        <v>78</v>
      </c>
      <c r="K14" t="s">
        <v>89</v>
      </c>
    </row>
    <row r="15" spans="1:11" x14ac:dyDescent="0.3">
      <c r="A15" t="s">
        <v>16</v>
      </c>
      <c r="B15" t="s">
        <v>3</v>
      </c>
      <c r="C15" t="s">
        <v>77</v>
      </c>
      <c r="E15" t="s">
        <v>78</v>
      </c>
      <c r="F15" t="s">
        <v>78</v>
      </c>
      <c r="G15" t="s">
        <v>89</v>
      </c>
      <c r="H15" t="s">
        <v>78</v>
      </c>
      <c r="I15" t="s">
        <v>89</v>
      </c>
      <c r="J15" t="s">
        <v>78</v>
      </c>
      <c r="K15" t="s">
        <v>89</v>
      </c>
    </row>
    <row r="16" spans="1:11" x14ac:dyDescent="0.3">
      <c r="A16" t="s">
        <v>17</v>
      </c>
      <c r="B16" t="s">
        <v>3</v>
      </c>
      <c r="C16" t="s">
        <v>77</v>
      </c>
      <c r="E16" t="s">
        <v>78</v>
      </c>
      <c r="F16" t="s">
        <v>78</v>
      </c>
      <c r="G16" t="s">
        <v>89</v>
      </c>
      <c r="H16" t="s">
        <v>78</v>
      </c>
      <c r="I16" t="s">
        <v>89</v>
      </c>
      <c r="J16" t="s">
        <v>78</v>
      </c>
      <c r="K16" t="s">
        <v>89</v>
      </c>
    </row>
    <row r="17" spans="1:11" x14ac:dyDescent="0.3">
      <c r="A17" t="s">
        <v>18</v>
      </c>
      <c r="B17" t="s">
        <v>19</v>
      </c>
      <c r="C17" t="s">
        <v>77</v>
      </c>
      <c r="D17">
        <v>1</v>
      </c>
      <c r="E17" t="s">
        <v>77</v>
      </c>
      <c r="F17" t="s">
        <v>77</v>
      </c>
      <c r="G17" s="3" t="s">
        <v>86</v>
      </c>
      <c r="H17" t="s">
        <v>78</v>
      </c>
      <c r="I17" t="s">
        <v>89</v>
      </c>
      <c r="J17" t="s">
        <v>78</v>
      </c>
      <c r="K17" t="s">
        <v>89</v>
      </c>
    </row>
    <row r="18" spans="1:11" x14ac:dyDescent="0.3">
      <c r="A18" t="s">
        <v>20</v>
      </c>
      <c r="B18" t="s">
        <v>19</v>
      </c>
      <c r="C18" t="s">
        <v>77</v>
      </c>
      <c r="D18">
        <v>1</v>
      </c>
      <c r="E18" t="s">
        <v>78</v>
      </c>
      <c r="F18" t="s">
        <v>78</v>
      </c>
      <c r="G18" t="s">
        <v>89</v>
      </c>
      <c r="H18" t="s">
        <v>78</v>
      </c>
      <c r="I18" t="s">
        <v>89</v>
      </c>
      <c r="J18" t="s">
        <v>78</v>
      </c>
      <c r="K18" t="s">
        <v>89</v>
      </c>
    </row>
    <row r="19" spans="1:11" x14ac:dyDescent="0.3">
      <c r="A19" t="s">
        <v>21</v>
      </c>
      <c r="B19" t="s">
        <v>19</v>
      </c>
      <c r="C19" t="s">
        <v>77</v>
      </c>
      <c r="E19" t="s">
        <v>77</v>
      </c>
      <c r="F19" t="s">
        <v>77</v>
      </c>
      <c r="G19" s="3" t="s">
        <v>86</v>
      </c>
      <c r="H19" t="s">
        <v>78</v>
      </c>
      <c r="I19" t="s">
        <v>89</v>
      </c>
      <c r="J19" t="s">
        <v>78</v>
      </c>
      <c r="K19" t="s">
        <v>89</v>
      </c>
    </row>
    <row r="20" spans="1:11" x14ac:dyDescent="0.3">
      <c r="A20" t="s">
        <v>22</v>
      </c>
      <c r="B20" t="s">
        <v>19</v>
      </c>
      <c r="C20" t="s">
        <v>78</v>
      </c>
      <c r="E20" t="s">
        <v>77</v>
      </c>
      <c r="F20" t="s">
        <v>77</v>
      </c>
      <c r="G20" t="s">
        <v>88</v>
      </c>
      <c r="H20" t="s">
        <v>78</v>
      </c>
      <c r="I20" t="s">
        <v>89</v>
      </c>
      <c r="J20" t="s">
        <v>77</v>
      </c>
      <c r="K20" t="s">
        <v>91</v>
      </c>
    </row>
    <row r="21" spans="1:11" x14ac:dyDescent="0.3">
      <c r="A21" t="s">
        <v>23</v>
      </c>
      <c r="B21" t="s">
        <v>19</v>
      </c>
      <c r="C21" t="s">
        <v>78</v>
      </c>
      <c r="E21" t="s">
        <v>78</v>
      </c>
      <c r="F21" t="s">
        <v>78</v>
      </c>
      <c r="G21" t="s">
        <v>89</v>
      </c>
      <c r="H21" t="s">
        <v>78</v>
      </c>
      <c r="I21" t="s">
        <v>89</v>
      </c>
      <c r="J21" t="s">
        <v>78</v>
      </c>
      <c r="K21" t="s">
        <v>89</v>
      </c>
    </row>
    <row r="22" spans="1:11" x14ac:dyDescent="0.3">
      <c r="A22" t="s">
        <v>24</v>
      </c>
      <c r="B22" t="s">
        <v>19</v>
      </c>
      <c r="C22" t="s">
        <v>78</v>
      </c>
      <c r="E22" t="s">
        <v>78</v>
      </c>
      <c r="F22" t="s">
        <v>78</v>
      </c>
      <c r="G22" t="s">
        <v>89</v>
      </c>
      <c r="H22" t="s">
        <v>78</v>
      </c>
      <c r="I22" t="s">
        <v>89</v>
      </c>
      <c r="J22" t="s">
        <v>78</v>
      </c>
      <c r="K22" t="s">
        <v>89</v>
      </c>
    </row>
    <row r="23" spans="1:11" x14ac:dyDescent="0.3">
      <c r="A23" t="s">
        <v>25</v>
      </c>
      <c r="B23" t="s">
        <v>19</v>
      </c>
      <c r="C23" t="s">
        <v>78</v>
      </c>
      <c r="E23" t="s">
        <v>78</v>
      </c>
      <c r="F23" t="s">
        <v>78</v>
      </c>
      <c r="G23" t="s">
        <v>89</v>
      </c>
      <c r="H23" t="s">
        <v>78</v>
      </c>
      <c r="I23" t="s">
        <v>89</v>
      </c>
      <c r="J23" t="s">
        <v>78</v>
      </c>
      <c r="K23" t="s">
        <v>89</v>
      </c>
    </row>
    <row r="24" spans="1:11" x14ac:dyDescent="0.3">
      <c r="A24" t="s">
        <v>26</v>
      </c>
      <c r="B24" t="s">
        <v>19</v>
      </c>
      <c r="C24" t="s">
        <v>78</v>
      </c>
      <c r="E24" t="s">
        <v>77</v>
      </c>
      <c r="F24" t="s">
        <v>77</v>
      </c>
      <c r="G24" s="3" t="s">
        <v>93</v>
      </c>
      <c r="H24" t="s">
        <v>78</v>
      </c>
      <c r="I24" t="s">
        <v>89</v>
      </c>
      <c r="J24" t="s">
        <v>78</v>
      </c>
      <c r="K24" t="s">
        <v>89</v>
      </c>
    </row>
    <row r="25" spans="1:11" x14ac:dyDescent="0.3">
      <c r="A25" t="s">
        <v>27</v>
      </c>
      <c r="B25" t="s">
        <v>19</v>
      </c>
      <c r="C25" t="s">
        <v>77</v>
      </c>
      <c r="E25" t="s">
        <v>78</v>
      </c>
      <c r="F25" t="s">
        <v>78</v>
      </c>
      <c r="G25" t="s">
        <v>89</v>
      </c>
      <c r="H25" t="s">
        <v>78</v>
      </c>
      <c r="I25" t="s">
        <v>89</v>
      </c>
      <c r="J25" t="s">
        <v>78</v>
      </c>
      <c r="K25" t="s">
        <v>89</v>
      </c>
    </row>
    <row r="26" spans="1:11" x14ac:dyDescent="0.3">
      <c r="A26" t="s">
        <v>28</v>
      </c>
      <c r="B26" t="s">
        <v>19</v>
      </c>
      <c r="C26" t="s">
        <v>77</v>
      </c>
      <c r="E26" t="s">
        <v>77</v>
      </c>
      <c r="F26" t="s">
        <v>77</v>
      </c>
      <c r="G26" t="s">
        <v>94</v>
      </c>
      <c r="H26" t="s">
        <v>78</v>
      </c>
      <c r="I26" t="s">
        <v>89</v>
      </c>
      <c r="J26" t="s">
        <v>78</v>
      </c>
      <c r="K26" t="s">
        <v>89</v>
      </c>
    </row>
    <row r="27" spans="1:11" x14ac:dyDescent="0.3">
      <c r="A27" t="s">
        <v>29</v>
      </c>
      <c r="B27" t="s">
        <v>30</v>
      </c>
      <c r="C27" t="s">
        <v>77</v>
      </c>
      <c r="E27" t="s">
        <v>78</v>
      </c>
      <c r="F27" t="s">
        <v>78</v>
      </c>
      <c r="G27" t="s">
        <v>89</v>
      </c>
      <c r="H27" t="s">
        <v>78</v>
      </c>
      <c r="I27" t="s">
        <v>89</v>
      </c>
      <c r="J27" t="s">
        <v>78</v>
      </c>
      <c r="K27" t="s">
        <v>89</v>
      </c>
    </row>
    <row r="28" spans="1:11" x14ac:dyDescent="0.3">
      <c r="A28" t="s">
        <v>31</v>
      </c>
      <c r="B28" t="s">
        <v>19</v>
      </c>
      <c r="C28" t="s">
        <v>77</v>
      </c>
      <c r="E28" t="s">
        <v>77</v>
      </c>
      <c r="F28" t="s">
        <v>77</v>
      </c>
      <c r="G28" s="3" t="s">
        <v>95</v>
      </c>
      <c r="H28" t="s">
        <v>78</v>
      </c>
      <c r="I28" t="s">
        <v>89</v>
      </c>
      <c r="J28" t="s">
        <v>78</v>
      </c>
      <c r="K28" t="s">
        <v>89</v>
      </c>
    </row>
    <row r="29" spans="1:11" x14ac:dyDescent="0.3">
      <c r="A29" t="s">
        <v>32</v>
      </c>
      <c r="B29" t="s">
        <v>19</v>
      </c>
      <c r="C29" t="s">
        <v>78</v>
      </c>
      <c r="E29" t="s">
        <v>78</v>
      </c>
      <c r="F29" t="s">
        <v>78</v>
      </c>
      <c r="G29" t="s">
        <v>89</v>
      </c>
      <c r="H29" t="s">
        <v>78</v>
      </c>
      <c r="I29" t="s">
        <v>89</v>
      </c>
      <c r="J29" t="s">
        <v>78</v>
      </c>
      <c r="K29" t="s">
        <v>89</v>
      </c>
    </row>
    <row r="30" spans="1:11" x14ac:dyDescent="0.3">
      <c r="A30" t="s">
        <v>33</v>
      </c>
      <c r="B30" t="s">
        <v>19</v>
      </c>
      <c r="C30" t="s">
        <v>77</v>
      </c>
      <c r="D30">
        <v>1</v>
      </c>
      <c r="E30" t="s">
        <v>77</v>
      </c>
      <c r="F30" t="s">
        <v>77</v>
      </c>
      <c r="G30" t="s">
        <v>96</v>
      </c>
      <c r="H30" t="s">
        <v>78</v>
      </c>
      <c r="I30" t="s">
        <v>89</v>
      </c>
      <c r="J30" t="s">
        <v>78</v>
      </c>
      <c r="K30" t="s">
        <v>89</v>
      </c>
    </row>
    <row r="31" spans="1:11" x14ac:dyDescent="0.3">
      <c r="A31" t="s">
        <v>34</v>
      </c>
      <c r="B31" t="s">
        <v>30</v>
      </c>
      <c r="C31" t="s">
        <v>77</v>
      </c>
      <c r="E31" t="s">
        <v>78</v>
      </c>
      <c r="F31" t="s">
        <v>78</v>
      </c>
      <c r="G31" t="s">
        <v>89</v>
      </c>
      <c r="H31" t="s">
        <v>78</v>
      </c>
      <c r="I31" t="s">
        <v>89</v>
      </c>
      <c r="J31" t="s">
        <v>78</v>
      </c>
      <c r="K31" t="s">
        <v>89</v>
      </c>
    </row>
    <row r="32" spans="1:11" x14ac:dyDescent="0.3">
      <c r="A32" t="s">
        <v>35</v>
      </c>
      <c r="B32" t="s">
        <v>30</v>
      </c>
      <c r="C32" t="s">
        <v>77</v>
      </c>
      <c r="E32" t="s">
        <v>78</v>
      </c>
      <c r="F32" t="s">
        <v>78</v>
      </c>
      <c r="G32" t="s">
        <v>89</v>
      </c>
      <c r="H32" t="s">
        <v>78</v>
      </c>
      <c r="I32" t="s">
        <v>89</v>
      </c>
      <c r="J32" t="s">
        <v>78</v>
      </c>
      <c r="K32" t="s">
        <v>89</v>
      </c>
    </row>
    <row r="33" spans="1:11" x14ac:dyDescent="0.3">
      <c r="A33" t="s">
        <v>36</v>
      </c>
      <c r="B33" t="s">
        <v>30</v>
      </c>
      <c r="C33" t="s">
        <v>77</v>
      </c>
      <c r="E33" t="s">
        <v>78</v>
      </c>
      <c r="F33" t="s">
        <v>78</v>
      </c>
      <c r="G33" t="s">
        <v>89</v>
      </c>
      <c r="H33" t="s">
        <v>78</v>
      </c>
      <c r="I33" t="s">
        <v>89</v>
      </c>
      <c r="J33" t="s">
        <v>78</v>
      </c>
      <c r="K33" t="s">
        <v>89</v>
      </c>
    </row>
    <row r="34" spans="1:11" x14ac:dyDescent="0.3">
      <c r="A34" t="s">
        <v>37</v>
      </c>
      <c r="B34" t="s">
        <v>30</v>
      </c>
      <c r="C34" t="s">
        <v>77</v>
      </c>
      <c r="E34" t="s">
        <v>78</v>
      </c>
      <c r="F34" t="s">
        <v>78</v>
      </c>
      <c r="G34" t="s">
        <v>89</v>
      </c>
      <c r="H34" t="s">
        <v>78</v>
      </c>
      <c r="I34" t="s">
        <v>89</v>
      </c>
      <c r="J34" t="s">
        <v>78</v>
      </c>
      <c r="K34" t="s">
        <v>89</v>
      </c>
    </row>
    <row r="35" spans="1:11" x14ac:dyDescent="0.3">
      <c r="A35" t="s">
        <v>38</v>
      </c>
      <c r="B35" t="s">
        <v>3</v>
      </c>
      <c r="C35" t="s">
        <v>78</v>
      </c>
      <c r="E35" t="s">
        <v>78</v>
      </c>
      <c r="F35" t="s">
        <v>78</v>
      </c>
      <c r="G35" t="s">
        <v>89</v>
      </c>
      <c r="H35" t="s">
        <v>78</v>
      </c>
      <c r="I35" t="s">
        <v>89</v>
      </c>
      <c r="J35" t="s">
        <v>78</v>
      </c>
      <c r="K35" t="s">
        <v>89</v>
      </c>
    </row>
    <row r="36" spans="1:11" x14ac:dyDescent="0.3">
      <c r="A36" t="s">
        <v>39</v>
      </c>
      <c r="B36" t="s">
        <v>3</v>
      </c>
      <c r="C36" t="s">
        <v>78</v>
      </c>
      <c r="D36">
        <v>1</v>
      </c>
      <c r="E36" t="s">
        <v>78</v>
      </c>
      <c r="F36" t="s">
        <v>78</v>
      </c>
      <c r="G36" t="s">
        <v>89</v>
      </c>
      <c r="H36" t="s">
        <v>78</v>
      </c>
      <c r="I36" t="s">
        <v>89</v>
      </c>
      <c r="J36" t="s">
        <v>78</v>
      </c>
      <c r="K36" t="s">
        <v>89</v>
      </c>
    </row>
    <row r="37" spans="1:11" x14ac:dyDescent="0.3">
      <c r="A37" t="s">
        <v>40</v>
      </c>
      <c r="B37" t="s">
        <v>3</v>
      </c>
      <c r="C37" t="s">
        <v>78</v>
      </c>
      <c r="E37" t="s">
        <v>78</v>
      </c>
      <c r="F37" t="s">
        <v>78</v>
      </c>
      <c r="G37" t="s">
        <v>89</v>
      </c>
      <c r="H37" t="s">
        <v>78</v>
      </c>
      <c r="I37" t="s">
        <v>89</v>
      </c>
      <c r="J37" t="s">
        <v>78</v>
      </c>
      <c r="K37" t="s">
        <v>89</v>
      </c>
    </row>
    <row r="38" spans="1:11" x14ac:dyDescent="0.3">
      <c r="A38" t="s">
        <v>41</v>
      </c>
      <c r="B38" t="s">
        <v>19</v>
      </c>
      <c r="C38" t="s">
        <v>78</v>
      </c>
      <c r="D38">
        <v>1</v>
      </c>
      <c r="E38" t="s">
        <v>78</v>
      </c>
      <c r="F38" t="s">
        <v>78</v>
      </c>
      <c r="G38" t="s">
        <v>89</v>
      </c>
      <c r="H38" t="s">
        <v>78</v>
      </c>
      <c r="I38" t="s">
        <v>89</v>
      </c>
      <c r="J38" t="s">
        <v>78</v>
      </c>
      <c r="K38" t="s">
        <v>89</v>
      </c>
    </row>
    <row r="39" spans="1:11" x14ac:dyDescent="0.3">
      <c r="A39" t="s">
        <v>42</v>
      </c>
      <c r="B39" t="s">
        <v>19</v>
      </c>
      <c r="C39" t="s">
        <v>77</v>
      </c>
      <c r="D39">
        <v>1</v>
      </c>
      <c r="E39" t="s">
        <v>77</v>
      </c>
      <c r="F39" t="s">
        <v>77</v>
      </c>
      <c r="G39" t="s">
        <v>96</v>
      </c>
      <c r="H39" t="s">
        <v>78</v>
      </c>
      <c r="I39" t="s">
        <v>89</v>
      </c>
      <c r="J39" t="s">
        <v>78</v>
      </c>
      <c r="K39" t="s">
        <v>89</v>
      </c>
    </row>
    <row r="40" spans="1:11" x14ac:dyDescent="0.3">
      <c r="A40" t="s">
        <v>43</v>
      </c>
      <c r="B40" t="s">
        <v>19</v>
      </c>
      <c r="C40" t="s">
        <v>77</v>
      </c>
      <c r="D40">
        <v>1</v>
      </c>
      <c r="E40" t="s">
        <v>78</v>
      </c>
      <c r="F40" t="s">
        <v>78</v>
      </c>
      <c r="G40" t="s">
        <v>89</v>
      </c>
      <c r="H40" t="s">
        <v>78</v>
      </c>
      <c r="I40" t="s">
        <v>89</v>
      </c>
      <c r="J40" t="s">
        <v>78</v>
      </c>
      <c r="K40" t="s">
        <v>89</v>
      </c>
    </row>
    <row r="41" spans="1:11" x14ac:dyDescent="0.3">
      <c r="A41" t="s">
        <v>44</v>
      </c>
      <c r="B41" t="s">
        <v>19</v>
      </c>
      <c r="C41" t="s">
        <v>77</v>
      </c>
      <c r="E41" t="s">
        <v>78</v>
      </c>
      <c r="F41" t="s">
        <v>78</v>
      </c>
      <c r="G41" t="s">
        <v>89</v>
      </c>
      <c r="H41" t="s">
        <v>78</v>
      </c>
      <c r="I41" t="s">
        <v>89</v>
      </c>
      <c r="J41" t="s">
        <v>78</v>
      </c>
      <c r="K41" t="s">
        <v>89</v>
      </c>
    </row>
    <row r="42" spans="1:11" x14ac:dyDescent="0.3">
      <c r="A42" t="s">
        <v>45</v>
      </c>
      <c r="B42" t="s">
        <v>19</v>
      </c>
      <c r="C42" t="s">
        <v>77</v>
      </c>
      <c r="E42" t="s">
        <v>77</v>
      </c>
      <c r="F42" t="s">
        <v>77</v>
      </c>
      <c r="G42" s="3" t="s">
        <v>86</v>
      </c>
      <c r="H42" t="s">
        <v>78</v>
      </c>
      <c r="I42" t="s">
        <v>89</v>
      </c>
      <c r="J42" t="s">
        <v>78</v>
      </c>
      <c r="K42" t="s">
        <v>89</v>
      </c>
    </row>
    <row r="43" spans="1:11" x14ac:dyDescent="0.3">
      <c r="A43" t="s">
        <v>46</v>
      </c>
      <c r="B43" t="s">
        <v>19</v>
      </c>
      <c r="C43" t="s">
        <v>77</v>
      </c>
      <c r="E43" t="s">
        <v>78</v>
      </c>
      <c r="F43" t="s">
        <v>78</v>
      </c>
      <c r="G43" t="s">
        <v>89</v>
      </c>
      <c r="H43" t="s">
        <v>78</v>
      </c>
      <c r="I43" t="s">
        <v>89</v>
      </c>
      <c r="J43" t="s">
        <v>78</v>
      </c>
      <c r="K43" t="s">
        <v>89</v>
      </c>
    </row>
    <row r="44" spans="1:11" x14ac:dyDescent="0.3">
      <c r="A44" t="s">
        <v>47</v>
      </c>
      <c r="B44" t="s">
        <v>19</v>
      </c>
      <c r="C44" t="s">
        <v>78</v>
      </c>
      <c r="E44" t="s">
        <v>78</v>
      </c>
      <c r="F44" t="s">
        <v>78</v>
      </c>
      <c r="G44" t="s">
        <v>89</v>
      </c>
      <c r="H44" t="s">
        <v>78</v>
      </c>
      <c r="I44" t="s">
        <v>89</v>
      </c>
      <c r="J44" t="s">
        <v>78</v>
      </c>
      <c r="K44" t="s">
        <v>89</v>
      </c>
    </row>
    <row r="45" spans="1:11" x14ac:dyDescent="0.3">
      <c r="A45" t="s">
        <v>48</v>
      </c>
      <c r="B45" t="s">
        <v>19</v>
      </c>
      <c r="C45" t="s">
        <v>78</v>
      </c>
      <c r="E45" t="s">
        <v>77</v>
      </c>
      <c r="F45" t="s">
        <v>77</v>
      </c>
      <c r="G45" t="s">
        <v>96</v>
      </c>
      <c r="H45" t="s">
        <v>78</v>
      </c>
      <c r="I45" t="s">
        <v>89</v>
      </c>
      <c r="J45" t="s">
        <v>78</v>
      </c>
      <c r="K45" t="s">
        <v>89</v>
      </c>
    </row>
    <row r="46" spans="1:11" x14ac:dyDescent="0.3">
      <c r="A46" t="s">
        <v>49</v>
      </c>
      <c r="B46" t="s">
        <v>3</v>
      </c>
      <c r="C46" t="s">
        <v>77</v>
      </c>
      <c r="E46" t="s">
        <v>78</v>
      </c>
      <c r="F46" t="s">
        <v>78</v>
      </c>
      <c r="G46" t="s">
        <v>89</v>
      </c>
      <c r="H46" t="s">
        <v>78</v>
      </c>
      <c r="I46" t="s">
        <v>89</v>
      </c>
      <c r="J46" t="s">
        <v>78</v>
      </c>
      <c r="K46" t="s">
        <v>89</v>
      </c>
    </row>
    <row r="47" spans="1:11" x14ac:dyDescent="0.3">
      <c r="A47" t="s">
        <v>50</v>
      </c>
      <c r="B47" t="s">
        <v>3</v>
      </c>
      <c r="C47" t="s">
        <v>77</v>
      </c>
      <c r="E47" t="s">
        <v>78</v>
      </c>
      <c r="F47" t="s">
        <v>78</v>
      </c>
      <c r="G47" t="s">
        <v>89</v>
      </c>
      <c r="H47" t="s">
        <v>78</v>
      </c>
      <c r="I47" t="s">
        <v>89</v>
      </c>
      <c r="J47" t="s">
        <v>78</v>
      </c>
      <c r="K47" t="s">
        <v>89</v>
      </c>
    </row>
    <row r="48" spans="1:11" x14ac:dyDescent="0.3">
      <c r="A48" t="s">
        <v>51</v>
      </c>
      <c r="B48" t="s">
        <v>3</v>
      </c>
      <c r="C48" t="s">
        <v>77</v>
      </c>
      <c r="E48" t="s">
        <v>77</v>
      </c>
      <c r="F48" t="s">
        <v>77</v>
      </c>
      <c r="G48" t="s">
        <v>96</v>
      </c>
      <c r="H48" t="s">
        <v>78</v>
      </c>
      <c r="I48" t="s">
        <v>89</v>
      </c>
      <c r="J48" t="s">
        <v>78</v>
      </c>
      <c r="K48" t="s">
        <v>89</v>
      </c>
    </row>
    <row r="49" spans="1:11" x14ac:dyDescent="0.3">
      <c r="A49" t="s">
        <v>52</v>
      </c>
      <c r="B49" t="s">
        <v>3</v>
      </c>
      <c r="C49" t="s">
        <v>77</v>
      </c>
      <c r="E49" t="s">
        <v>78</v>
      </c>
      <c r="F49" t="s">
        <v>78</v>
      </c>
      <c r="G49" t="s">
        <v>89</v>
      </c>
      <c r="H49" t="s">
        <v>78</v>
      </c>
      <c r="I49" t="s">
        <v>89</v>
      </c>
      <c r="J49" t="s">
        <v>78</v>
      </c>
      <c r="K49" t="s">
        <v>89</v>
      </c>
    </row>
    <row r="50" spans="1:11" x14ac:dyDescent="0.3">
      <c r="A50" t="s">
        <v>53</v>
      </c>
      <c r="B50" t="s">
        <v>3</v>
      </c>
      <c r="C50" t="s">
        <v>77</v>
      </c>
      <c r="E50" t="s">
        <v>78</v>
      </c>
      <c r="F50" t="s">
        <v>78</v>
      </c>
      <c r="G50" t="s">
        <v>89</v>
      </c>
      <c r="H50" t="s">
        <v>78</v>
      </c>
      <c r="I50" t="s">
        <v>89</v>
      </c>
      <c r="J50" t="s">
        <v>78</v>
      </c>
      <c r="K50" t="s">
        <v>89</v>
      </c>
    </row>
    <row r="51" spans="1:11" x14ac:dyDescent="0.3">
      <c r="A51" t="s">
        <v>54</v>
      </c>
      <c r="B51" t="s">
        <v>3</v>
      </c>
      <c r="C51" t="s">
        <v>77</v>
      </c>
      <c r="E51" t="s">
        <v>78</v>
      </c>
      <c r="F51" t="s">
        <v>78</v>
      </c>
      <c r="G51" t="s">
        <v>89</v>
      </c>
      <c r="H51" t="s">
        <v>78</v>
      </c>
      <c r="I51" t="s">
        <v>89</v>
      </c>
      <c r="J51" t="s">
        <v>78</v>
      </c>
      <c r="K51" t="s">
        <v>89</v>
      </c>
    </row>
    <row r="52" spans="1:11" x14ac:dyDescent="0.3">
      <c r="A52" t="s">
        <v>55</v>
      </c>
      <c r="B52" t="s">
        <v>30</v>
      </c>
      <c r="C52" t="s">
        <v>77</v>
      </c>
      <c r="E52" t="s">
        <v>78</v>
      </c>
      <c r="F52" t="s">
        <v>78</v>
      </c>
      <c r="G52" t="s">
        <v>89</v>
      </c>
      <c r="H52" t="s">
        <v>78</v>
      </c>
      <c r="I52" t="s">
        <v>89</v>
      </c>
      <c r="J52" t="s">
        <v>78</v>
      </c>
      <c r="K52" t="s">
        <v>89</v>
      </c>
    </row>
    <row r="53" spans="1:11" x14ac:dyDescent="0.3">
      <c r="A53" t="s">
        <v>56</v>
      </c>
      <c r="B53" t="s">
        <v>3</v>
      </c>
      <c r="C53" t="s">
        <v>77</v>
      </c>
      <c r="E53" t="s">
        <v>78</v>
      </c>
      <c r="F53" t="s">
        <v>78</v>
      </c>
      <c r="G53" t="s">
        <v>89</v>
      </c>
      <c r="H53" t="s">
        <v>78</v>
      </c>
      <c r="I53" t="s">
        <v>89</v>
      </c>
      <c r="J53" t="s">
        <v>78</v>
      </c>
      <c r="K53" t="s">
        <v>89</v>
      </c>
    </row>
    <row r="54" spans="1:11" x14ac:dyDescent="0.3">
      <c r="A54" t="s">
        <v>57</v>
      </c>
      <c r="B54" t="s">
        <v>30</v>
      </c>
      <c r="C54" t="s">
        <v>77</v>
      </c>
      <c r="E54" t="s">
        <v>78</v>
      </c>
      <c r="F54" t="s">
        <v>78</v>
      </c>
      <c r="G54" t="s">
        <v>89</v>
      </c>
      <c r="H54" t="s">
        <v>78</v>
      </c>
      <c r="I54" t="s">
        <v>89</v>
      </c>
      <c r="J54" t="s">
        <v>78</v>
      </c>
      <c r="K54" t="s">
        <v>89</v>
      </c>
    </row>
    <row r="55" spans="1:11" x14ac:dyDescent="0.3">
      <c r="A55" t="s">
        <v>58</v>
      </c>
      <c r="B55" t="s">
        <v>30</v>
      </c>
      <c r="C55" t="s">
        <v>77</v>
      </c>
      <c r="E55" t="s">
        <v>78</v>
      </c>
      <c r="F55" t="s">
        <v>78</v>
      </c>
      <c r="G55" t="s">
        <v>89</v>
      </c>
      <c r="H55" t="s">
        <v>78</v>
      </c>
      <c r="I55" t="s">
        <v>89</v>
      </c>
      <c r="J55" t="s">
        <v>78</v>
      </c>
      <c r="K55" t="s">
        <v>89</v>
      </c>
    </row>
    <row r="56" spans="1:11" x14ac:dyDescent="0.3">
      <c r="A56" t="s">
        <v>59</v>
      </c>
      <c r="B56" t="s">
        <v>3</v>
      </c>
      <c r="C56" t="s">
        <v>78</v>
      </c>
      <c r="E56" t="s">
        <v>78</v>
      </c>
      <c r="F56" t="s">
        <v>78</v>
      </c>
      <c r="G56" t="s">
        <v>89</v>
      </c>
      <c r="H56" t="s">
        <v>78</v>
      </c>
      <c r="I56" t="s">
        <v>89</v>
      </c>
      <c r="J56" t="s">
        <v>78</v>
      </c>
      <c r="K56" t="s">
        <v>89</v>
      </c>
    </row>
    <row r="57" spans="1:11" x14ac:dyDescent="0.3">
      <c r="A57" t="s">
        <v>60</v>
      </c>
      <c r="B57" t="s">
        <v>3</v>
      </c>
      <c r="C57" t="s">
        <v>77</v>
      </c>
      <c r="D57">
        <v>1</v>
      </c>
      <c r="E57" t="s">
        <v>77</v>
      </c>
      <c r="F57" t="s">
        <v>77</v>
      </c>
      <c r="G57" s="3" t="s">
        <v>86</v>
      </c>
      <c r="H57" t="s">
        <v>78</v>
      </c>
      <c r="I57" t="s">
        <v>89</v>
      </c>
      <c r="J57" t="s">
        <v>77</v>
      </c>
      <c r="K57" t="s">
        <v>86</v>
      </c>
    </row>
    <row r="58" spans="1:11" x14ac:dyDescent="0.3">
      <c r="A58" t="s">
        <v>61</v>
      </c>
      <c r="B58" t="s">
        <v>19</v>
      </c>
      <c r="C58" t="s">
        <v>78</v>
      </c>
      <c r="E58" t="s">
        <v>78</v>
      </c>
      <c r="F58" t="s">
        <v>78</v>
      </c>
      <c r="G58" t="s">
        <v>89</v>
      </c>
      <c r="H58" t="s">
        <v>78</v>
      </c>
      <c r="I58" t="s">
        <v>89</v>
      </c>
      <c r="J58" t="s">
        <v>78</v>
      </c>
      <c r="K58" t="s">
        <v>89</v>
      </c>
    </row>
    <row r="59" spans="1:11" x14ac:dyDescent="0.3">
      <c r="A59" t="s">
        <v>62</v>
      </c>
      <c r="B59" t="s">
        <v>19</v>
      </c>
      <c r="C59" t="s">
        <v>78</v>
      </c>
      <c r="E59" t="s">
        <v>78</v>
      </c>
      <c r="F59" t="s">
        <v>78</v>
      </c>
      <c r="G59" t="s">
        <v>89</v>
      </c>
      <c r="H59" t="s">
        <v>78</v>
      </c>
      <c r="I59" t="s">
        <v>89</v>
      </c>
      <c r="J59" t="s">
        <v>78</v>
      </c>
      <c r="K59" t="s">
        <v>89</v>
      </c>
    </row>
    <row r="60" spans="1:11" x14ac:dyDescent="0.3">
      <c r="A60" t="s">
        <v>63</v>
      </c>
      <c r="B60" t="s">
        <v>19</v>
      </c>
      <c r="C60" t="s">
        <v>78</v>
      </c>
      <c r="E60" t="s">
        <v>78</v>
      </c>
      <c r="F60" t="s">
        <v>78</v>
      </c>
      <c r="G60" t="s">
        <v>89</v>
      </c>
      <c r="H60" t="s">
        <v>78</v>
      </c>
      <c r="I60" t="s">
        <v>89</v>
      </c>
      <c r="J60" t="s">
        <v>78</v>
      </c>
      <c r="K60" t="s">
        <v>89</v>
      </c>
    </row>
    <row r="61" spans="1:11" x14ac:dyDescent="0.3">
      <c r="A61" t="s">
        <v>64</v>
      </c>
      <c r="B61" t="s">
        <v>30</v>
      </c>
      <c r="C61" t="s">
        <v>77</v>
      </c>
      <c r="E61" t="s">
        <v>78</v>
      </c>
      <c r="F61" t="s">
        <v>78</v>
      </c>
      <c r="G61" t="s">
        <v>89</v>
      </c>
      <c r="H61" t="s">
        <v>78</v>
      </c>
      <c r="I61" t="s">
        <v>89</v>
      </c>
      <c r="J61" t="s">
        <v>78</v>
      </c>
      <c r="K61" t="s">
        <v>89</v>
      </c>
    </row>
    <row r="62" spans="1:11" x14ac:dyDescent="0.3">
      <c r="A62" t="s">
        <v>65</v>
      </c>
      <c r="B62" t="s">
        <v>30</v>
      </c>
      <c r="C62" t="s">
        <v>77</v>
      </c>
      <c r="E62" t="s">
        <v>77</v>
      </c>
      <c r="F62" t="s">
        <v>77</v>
      </c>
      <c r="G62" t="s">
        <v>96</v>
      </c>
      <c r="H62" t="s">
        <v>78</v>
      </c>
      <c r="I62" t="s">
        <v>89</v>
      </c>
      <c r="J62" t="s">
        <v>78</v>
      </c>
      <c r="K62" t="s">
        <v>89</v>
      </c>
    </row>
    <row r="63" spans="1:11" x14ac:dyDescent="0.3">
      <c r="A63" t="s">
        <v>66</v>
      </c>
      <c r="B63" t="s">
        <v>30</v>
      </c>
      <c r="C63" t="s">
        <v>77</v>
      </c>
      <c r="E63" t="s">
        <v>77</v>
      </c>
      <c r="F63" t="s">
        <v>77</v>
      </c>
      <c r="G63" t="s">
        <v>96</v>
      </c>
      <c r="H63" t="s">
        <v>78</v>
      </c>
      <c r="I63" t="s">
        <v>89</v>
      </c>
      <c r="J63" t="s">
        <v>78</v>
      </c>
      <c r="K63" t="s">
        <v>89</v>
      </c>
    </row>
    <row r="64" spans="1:11" x14ac:dyDescent="0.3">
      <c r="A64" t="s">
        <v>67</v>
      </c>
      <c r="B64" t="s">
        <v>30</v>
      </c>
      <c r="C64" t="s">
        <v>77</v>
      </c>
      <c r="E64" t="s">
        <v>78</v>
      </c>
      <c r="F64" t="s">
        <v>78</v>
      </c>
      <c r="G64" t="s">
        <v>89</v>
      </c>
      <c r="H64" t="s">
        <v>78</v>
      </c>
      <c r="I64" t="s">
        <v>89</v>
      </c>
      <c r="J64" t="s">
        <v>78</v>
      </c>
      <c r="K64" t="s">
        <v>89</v>
      </c>
    </row>
    <row r="65" spans="1:17" x14ac:dyDescent="0.3">
      <c r="A65" t="s">
        <v>68</v>
      </c>
      <c r="B65" t="s">
        <v>30</v>
      </c>
      <c r="C65" t="s">
        <v>77</v>
      </c>
      <c r="E65" t="s">
        <v>78</v>
      </c>
      <c r="F65" t="s">
        <v>78</v>
      </c>
      <c r="G65" t="s">
        <v>89</v>
      </c>
      <c r="H65" t="s">
        <v>78</v>
      </c>
      <c r="I65" t="s">
        <v>89</v>
      </c>
      <c r="J65" t="s">
        <v>78</v>
      </c>
      <c r="K65" t="s">
        <v>89</v>
      </c>
    </row>
    <row r="66" spans="1:17" x14ac:dyDescent="0.3">
      <c r="A66" t="s">
        <v>69</v>
      </c>
      <c r="B66" t="s">
        <v>30</v>
      </c>
      <c r="C66" t="s">
        <v>77</v>
      </c>
      <c r="E66" t="s">
        <v>78</v>
      </c>
      <c r="F66" t="s">
        <v>78</v>
      </c>
      <c r="G66" t="s">
        <v>89</v>
      </c>
      <c r="H66" t="s">
        <v>78</v>
      </c>
      <c r="I66" t="s">
        <v>89</v>
      </c>
      <c r="J66" t="s">
        <v>78</v>
      </c>
      <c r="K66" t="s">
        <v>89</v>
      </c>
    </row>
    <row r="67" spans="1:17" x14ac:dyDescent="0.3">
      <c r="A67" t="s">
        <v>70</v>
      </c>
      <c r="B67" t="s">
        <v>3</v>
      </c>
      <c r="C67" t="s">
        <v>78</v>
      </c>
      <c r="E67" t="s">
        <v>78</v>
      </c>
      <c r="F67" t="s">
        <v>78</v>
      </c>
      <c r="G67" t="s">
        <v>89</v>
      </c>
      <c r="H67" t="s">
        <v>78</v>
      </c>
      <c r="I67" t="s">
        <v>89</v>
      </c>
      <c r="J67" t="s">
        <v>78</v>
      </c>
      <c r="K67" t="s">
        <v>89</v>
      </c>
    </row>
    <row r="68" spans="1:17" x14ac:dyDescent="0.3">
      <c r="A68" t="s">
        <v>71</v>
      </c>
      <c r="B68" t="s">
        <v>3</v>
      </c>
      <c r="C68" t="s">
        <v>77</v>
      </c>
      <c r="E68" t="s">
        <v>78</v>
      </c>
      <c r="F68" t="s">
        <v>78</v>
      </c>
      <c r="G68" t="s">
        <v>89</v>
      </c>
      <c r="H68" t="s">
        <v>78</v>
      </c>
      <c r="I68" t="s">
        <v>89</v>
      </c>
      <c r="J68" t="s">
        <v>78</v>
      </c>
      <c r="K68" t="s">
        <v>89</v>
      </c>
    </row>
    <row r="69" spans="1:17" x14ac:dyDescent="0.3">
      <c r="A69" t="s">
        <v>72</v>
      </c>
      <c r="B69" t="s">
        <v>3</v>
      </c>
      <c r="C69" t="s">
        <v>77</v>
      </c>
      <c r="E69" t="s">
        <v>78</v>
      </c>
      <c r="F69" t="s">
        <v>78</v>
      </c>
      <c r="G69" t="s">
        <v>89</v>
      </c>
      <c r="H69" t="s">
        <v>78</v>
      </c>
      <c r="I69" t="s">
        <v>89</v>
      </c>
      <c r="J69" t="s">
        <v>78</v>
      </c>
      <c r="K69" t="s">
        <v>89</v>
      </c>
    </row>
    <row r="70" spans="1:17" x14ac:dyDescent="0.3">
      <c r="A70" t="s">
        <v>73</v>
      </c>
      <c r="B70" t="s">
        <v>3</v>
      </c>
      <c r="C70" t="s">
        <v>77</v>
      </c>
      <c r="E70" t="s">
        <v>78</v>
      </c>
      <c r="F70" t="s">
        <v>78</v>
      </c>
      <c r="G70" t="s">
        <v>89</v>
      </c>
      <c r="H70" t="s">
        <v>78</v>
      </c>
      <c r="I70" t="s">
        <v>89</v>
      </c>
      <c r="J70" t="s">
        <v>78</v>
      </c>
      <c r="K70" t="s">
        <v>89</v>
      </c>
    </row>
    <row r="71" spans="1:17" x14ac:dyDescent="0.3">
      <c r="A71" t="s">
        <v>74</v>
      </c>
      <c r="B71" t="s">
        <v>19</v>
      </c>
      <c r="C71" t="s">
        <v>77</v>
      </c>
      <c r="D71">
        <v>1</v>
      </c>
      <c r="E71" t="s">
        <v>78</v>
      </c>
      <c r="F71" t="s">
        <v>78</v>
      </c>
      <c r="G71" t="s">
        <v>89</v>
      </c>
      <c r="H71" t="s">
        <v>78</v>
      </c>
      <c r="I71" t="s">
        <v>89</v>
      </c>
      <c r="J71" t="s">
        <v>78</v>
      </c>
      <c r="K71" t="s">
        <v>89</v>
      </c>
    </row>
    <row r="72" spans="1:17" x14ac:dyDescent="0.3">
      <c r="A72" t="s">
        <v>75</v>
      </c>
      <c r="B72" t="s">
        <v>3</v>
      </c>
      <c r="C72" t="s">
        <v>78</v>
      </c>
      <c r="E72" t="s">
        <v>78</v>
      </c>
      <c r="F72" t="s">
        <v>78</v>
      </c>
      <c r="G72" t="s">
        <v>89</v>
      </c>
      <c r="H72" t="s">
        <v>78</v>
      </c>
      <c r="I72" t="s">
        <v>89</v>
      </c>
      <c r="J72" t="s">
        <v>78</v>
      </c>
      <c r="K72" t="s">
        <v>89</v>
      </c>
    </row>
    <row r="74" spans="1:17" x14ac:dyDescent="0.3">
      <c r="B74" t="s">
        <v>98</v>
      </c>
      <c r="I74" t="s">
        <v>79</v>
      </c>
      <c r="K74" t="s">
        <v>105</v>
      </c>
      <c r="L74" t="s">
        <v>106</v>
      </c>
    </row>
    <row r="75" spans="1:17" x14ac:dyDescent="0.3">
      <c r="C75">
        <f>COUNTIF(B2:B72,B56)</f>
        <v>32</v>
      </c>
      <c r="D75">
        <f>COUNTIFS(B2:B72,B2,C2:C72,C39)</f>
        <v>21</v>
      </c>
      <c r="E75">
        <f>COUNTIFS(B2:B72,B2,C2:C72,C5)</f>
        <v>11</v>
      </c>
      <c r="H75" t="s">
        <v>101</v>
      </c>
      <c r="J75" t="s">
        <v>103</v>
      </c>
      <c r="K75">
        <f>COUNTIFS(D2:D72,D71,C2:C72,C71,E2:E72,E63)</f>
        <v>7</v>
      </c>
      <c r="L75">
        <f>COUNTIFS(D2:D72,D71,C2:C72,C71,E2:E72,E71)</f>
        <v>3</v>
      </c>
      <c r="O75">
        <f>COUNTIF(Sheet1!C2:C72, "Yes")</f>
        <v>48</v>
      </c>
      <c r="P75">
        <f>COUNTIFS(Sheet1!C2:C72, "Yes", Sheet1!D2:D72, "&lt;&gt;1")</f>
        <v>38</v>
      </c>
      <c r="Q75">
        <f>P75-3+2</f>
        <v>37</v>
      </c>
    </row>
    <row r="76" spans="1:17" x14ac:dyDescent="0.3">
      <c r="B76">
        <f>SUM(C75:C76)</f>
        <v>57</v>
      </c>
      <c r="C76">
        <f>COUNTIF(B2:B72,B71)</f>
        <v>25</v>
      </c>
      <c r="D76">
        <f>COUNTIFS(B2:B72,B17,C2:C72,C2)</f>
        <v>13</v>
      </c>
      <c r="E76">
        <f>COUNTIFS(B2:B72,B28,C2:C72,C59)</f>
        <v>12</v>
      </c>
      <c r="J76" t="s">
        <v>104</v>
      </c>
      <c r="K76">
        <f>COUNTIFS(D2:D72,D71,C2:C72,C72,E2:E72,E63)</f>
        <v>0</v>
      </c>
      <c r="L76">
        <f>COUNTIFS(D2:D72,D71,C2:C72,C72,E2:E72,E71)</f>
        <v>2</v>
      </c>
      <c r="O76">
        <f>COUNTIF(Sheet1!C2:C72, "No")</f>
        <v>23</v>
      </c>
      <c r="P76">
        <f>COUNTIFS(Sheet1!C2:C72, "No", Sheet1!D2:D72, "&lt;&gt;1")</f>
        <v>21</v>
      </c>
      <c r="Q76">
        <f>P76-2+3</f>
        <v>22</v>
      </c>
    </row>
    <row r="77" spans="1:17" x14ac:dyDescent="0.3">
      <c r="C77">
        <f>COUNTIF(B2:B72,B66)</f>
        <v>14</v>
      </c>
      <c r="O77">
        <f>O75+O76</f>
        <v>71</v>
      </c>
      <c r="P77">
        <f>P75+P76</f>
        <v>59</v>
      </c>
      <c r="Q77">
        <f>Q75+Q76</f>
        <v>59</v>
      </c>
    </row>
    <row r="78" spans="1:17" x14ac:dyDescent="0.3">
      <c r="H78" t="s">
        <v>102</v>
      </c>
      <c r="J78" t="s">
        <v>103</v>
      </c>
      <c r="K78">
        <f>COUNTIFS(D2:D72,"&lt;&gt;1",C2:C72,C71,E2:E72,E63)</f>
        <v>9</v>
      </c>
      <c r="L78">
        <f>COUNTIFS(D2:D72,"&lt;&gt;1",C2:C72,C71,E2:E72,E71)</f>
        <v>29</v>
      </c>
      <c r="O78">
        <f>O75/O77</f>
        <v>0.676056338028169</v>
      </c>
      <c r="P78">
        <f>P75/P77</f>
        <v>0.64406779661016944</v>
      </c>
      <c r="Q78">
        <f>Q75/Q77</f>
        <v>0.6271186440677966</v>
      </c>
    </row>
    <row r="79" spans="1:17" x14ac:dyDescent="0.3">
      <c r="D79">
        <f>SUM(D75:D76)</f>
        <v>34</v>
      </c>
      <c r="E79">
        <f>SUM(E75:E76)</f>
        <v>23</v>
      </c>
      <c r="J79" t="s">
        <v>104</v>
      </c>
      <c r="K79">
        <f>COUNTIFS(D2:D72,"&lt;&gt;1",C2:C72,C72,E2:E72,E63)</f>
        <v>4</v>
      </c>
      <c r="L79">
        <f>COUNTIFS(D2:D72,"&lt;&gt;1",C2:C72,C72,E2:E72,E71)</f>
        <v>17</v>
      </c>
    </row>
    <row r="81" spans="2:17" x14ac:dyDescent="0.3">
      <c r="O81" t="s">
        <v>104</v>
      </c>
      <c r="P81" t="s">
        <v>111</v>
      </c>
    </row>
    <row r="82" spans="2:17" x14ac:dyDescent="0.3">
      <c r="N82" t="s">
        <v>110</v>
      </c>
      <c r="O82">
        <f>COUNTIFS(C2:C72,"No", F2:F72,"Yes")</f>
        <v>4</v>
      </c>
      <c r="P82">
        <f>COUNTIFS(C2:C72,"Yes", F2:F72,"Yes")</f>
        <v>15</v>
      </c>
      <c r="Q82">
        <f>COUNTIFS(C2:C72,"Yes", F2:F72,"Yes",D2:D72,"&lt;&gt;1")</f>
        <v>8</v>
      </c>
    </row>
    <row r="83" spans="2:17" x14ac:dyDescent="0.3">
      <c r="B83" t="s">
        <v>100</v>
      </c>
      <c r="N83" t="s">
        <v>93</v>
      </c>
      <c r="O83">
        <v>2</v>
      </c>
      <c r="P83">
        <v>6</v>
      </c>
      <c r="Q83">
        <v>3</v>
      </c>
    </row>
    <row r="84" spans="2:17" x14ac:dyDescent="0.3">
      <c r="C84">
        <f>53-9</f>
        <v>44</v>
      </c>
      <c r="D84">
        <f>50-9</f>
        <v>41</v>
      </c>
      <c r="E84">
        <f>50-9</f>
        <v>41</v>
      </c>
    </row>
    <row r="85" spans="2:17" x14ac:dyDescent="0.3">
      <c r="B85" t="s">
        <v>99</v>
      </c>
    </row>
    <row r="86" spans="2:17" x14ac:dyDescent="0.3">
      <c r="C86">
        <f>57-11</f>
        <v>46</v>
      </c>
      <c r="D86">
        <f>54-11</f>
        <v>43</v>
      </c>
      <c r="E86">
        <f>54-11</f>
        <v>43</v>
      </c>
    </row>
  </sheetData>
  <conditionalFormatting sqref="D2:D72">
    <cfRule type="cellIs" dxfId="3"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70DD6-0ED4-4075-977E-8D09AF662C1D}">
  <dimension ref="A1:D56"/>
  <sheetViews>
    <sheetView topLeftCell="A37" workbookViewId="0">
      <selection activeCell="D57" sqref="D57"/>
    </sheetView>
  </sheetViews>
  <sheetFormatPr defaultRowHeight="14.4" x14ac:dyDescent="0.3"/>
  <sheetData>
    <row r="1" spans="1:4" x14ac:dyDescent="0.3">
      <c r="A1" t="s">
        <v>77</v>
      </c>
      <c r="B1" t="s">
        <v>77</v>
      </c>
      <c r="C1" s="3" t="s">
        <v>86</v>
      </c>
      <c r="D1">
        <v>1</v>
      </c>
    </row>
    <row r="2" spans="1:4" x14ac:dyDescent="0.3">
      <c r="A2" t="s">
        <v>77</v>
      </c>
      <c r="B2" t="s">
        <v>77</v>
      </c>
      <c r="C2" t="s">
        <v>88</v>
      </c>
      <c r="D2">
        <v>1</v>
      </c>
    </row>
    <row r="3" spans="1:4" x14ac:dyDescent="0.3">
      <c r="A3" t="s">
        <v>77</v>
      </c>
      <c r="B3" t="s">
        <v>77</v>
      </c>
      <c r="C3" t="s">
        <v>88</v>
      </c>
      <c r="D3">
        <v>1</v>
      </c>
    </row>
    <row r="4" spans="1:4" x14ac:dyDescent="0.3">
      <c r="A4" t="s">
        <v>78</v>
      </c>
      <c r="B4" t="s">
        <v>78</v>
      </c>
      <c r="C4" t="s">
        <v>89</v>
      </c>
    </row>
    <row r="5" spans="1:4" x14ac:dyDescent="0.3">
      <c r="A5" t="s">
        <v>78</v>
      </c>
      <c r="B5" t="s">
        <v>78</v>
      </c>
      <c r="C5" t="s">
        <v>89</v>
      </c>
    </row>
    <row r="6" spans="1:4" x14ac:dyDescent="0.3">
      <c r="A6" t="s">
        <v>78</v>
      </c>
      <c r="B6" s="2" t="s">
        <v>78</v>
      </c>
      <c r="C6" s="2" t="s">
        <v>89</v>
      </c>
    </row>
    <row r="7" spans="1:4" x14ac:dyDescent="0.3">
      <c r="A7" t="s">
        <v>78</v>
      </c>
      <c r="B7" s="2" t="s">
        <v>78</v>
      </c>
      <c r="C7" s="2" t="s">
        <v>89</v>
      </c>
    </row>
    <row r="8" spans="1:4" x14ac:dyDescent="0.3">
      <c r="A8" t="s">
        <v>77</v>
      </c>
      <c r="B8" s="2" t="s">
        <v>78</v>
      </c>
      <c r="C8" s="2" t="s">
        <v>89</v>
      </c>
    </row>
    <row r="9" spans="1:4" x14ac:dyDescent="0.3">
      <c r="A9" t="s">
        <v>77</v>
      </c>
      <c r="B9" s="2" t="s">
        <v>78</v>
      </c>
      <c r="C9" s="2" t="s">
        <v>89</v>
      </c>
    </row>
    <row r="10" spans="1:4" x14ac:dyDescent="0.3">
      <c r="A10" t="s">
        <v>77</v>
      </c>
      <c r="B10" s="2" t="s">
        <v>77</v>
      </c>
      <c r="C10" s="2" t="s">
        <v>90</v>
      </c>
    </row>
    <row r="11" spans="1:4" x14ac:dyDescent="0.3">
      <c r="A11" t="s">
        <v>78</v>
      </c>
      <c r="B11" s="2" t="s">
        <v>77</v>
      </c>
      <c r="C11" s="4" t="s">
        <v>91</v>
      </c>
    </row>
    <row r="12" spans="1:4" x14ac:dyDescent="0.3">
      <c r="A12" t="s">
        <v>77</v>
      </c>
      <c r="B12" s="2" t="s">
        <v>78</v>
      </c>
      <c r="C12" s="2" t="s">
        <v>89</v>
      </c>
    </row>
    <row r="13" spans="1:4" x14ac:dyDescent="0.3">
      <c r="A13" t="s">
        <v>77</v>
      </c>
      <c r="B13" s="2" t="s">
        <v>77</v>
      </c>
      <c r="C13" s="2" t="s">
        <v>89</v>
      </c>
    </row>
    <row r="14" spans="1:4" x14ac:dyDescent="0.3">
      <c r="A14" t="s">
        <v>77</v>
      </c>
      <c r="B14" s="2" t="s">
        <v>78</v>
      </c>
      <c r="C14" s="2" t="s">
        <v>89</v>
      </c>
    </row>
    <row r="15" spans="1:4" x14ac:dyDescent="0.3">
      <c r="A15" t="s">
        <v>77</v>
      </c>
      <c r="B15" s="2" t="s">
        <v>78</v>
      </c>
      <c r="C15" s="2" t="s">
        <v>89</v>
      </c>
    </row>
    <row r="16" spans="1:4" x14ac:dyDescent="0.3">
      <c r="A16" t="s">
        <v>107</v>
      </c>
      <c r="B16" s="2" t="s">
        <v>78</v>
      </c>
      <c r="C16" s="2" t="s">
        <v>89</v>
      </c>
    </row>
    <row r="17" spans="1:4" x14ac:dyDescent="0.3">
      <c r="A17" t="s">
        <v>77</v>
      </c>
      <c r="B17" s="2" t="s">
        <v>77</v>
      </c>
      <c r="C17" s="4" t="s">
        <v>86</v>
      </c>
      <c r="D17">
        <v>1</v>
      </c>
    </row>
    <row r="18" spans="1:4" x14ac:dyDescent="0.3">
      <c r="A18" t="s">
        <v>77</v>
      </c>
      <c r="B18" s="2" t="s">
        <v>78</v>
      </c>
      <c r="C18" s="2" t="s">
        <v>89</v>
      </c>
      <c r="D18" s="1">
        <v>1</v>
      </c>
    </row>
    <row r="19" spans="1:4" x14ac:dyDescent="0.3">
      <c r="A19" t="s">
        <v>77</v>
      </c>
      <c r="B19" s="2" t="s">
        <v>77</v>
      </c>
      <c r="C19" s="4" t="s">
        <v>86</v>
      </c>
    </row>
    <row r="20" spans="1:4" x14ac:dyDescent="0.3">
      <c r="A20" t="s">
        <v>78</v>
      </c>
      <c r="B20" s="2" t="s">
        <v>77</v>
      </c>
      <c r="C20" s="2" t="s">
        <v>88</v>
      </c>
    </row>
    <row r="21" spans="1:4" x14ac:dyDescent="0.3">
      <c r="A21" t="s">
        <v>78</v>
      </c>
      <c r="B21" s="2" t="s">
        <v>78</v>
      </c>
      <c r="C21" s="2" t="s">
        <v>89</v>
      </c>
    </row>
    <row r="22" spans="1:4" x14ac:dyDescent="0.3">
      <c r="A22" t="s">
        <v>78</v>
      </c>
      <c r="B22" s="2" t="s">
        <v>78</v>
      </c>
      <c r="C22" s="2" t="s">
        <v>89</v>
      </c>
    </row>
    <row r="23" spans="1:4" x14ac:dyDescent="0.3">
      <c r="A23" t="s">
        <v>78</v>
      </c>
      <c r="B23" s="2" t="s">
        <v>78</v>
      </c>
      <c r="C23" s="2" t="s">
        <v>89</v>
      </c>
    </row>
    <row r="24" spans="1:4" x14ac:dyDescent="0.3">
      <c r="A24" t="s">
        <v>78</v>
      </c>
      <c r="B24" s="2" t="s">
        <v>77</v>
      </c>
      <c r="C24" s="4" t="s">
        <v>93</v>
      </c>
    </row>
    <row r="25" spans="1:4" x14ac:dyDescent="0.3">
      <c r="A25" t="s">
        <v>77</v>
      </c>
      <c r="B25" s="2" t="s">
        <v>78</v>
      </c>
      <c r="C25" s="2" t="s">
        <v>89</v>
      </c>
    </row>
    <row r="26" spans="1:4" x14ac:dyDescent="0.3">
      <c r="A26" t="s">
        <v>77</v>
      </c>
      <c r="B26" s="2" t="s">
        <v>77</v>
      </c>
      <c r="C26" s="2" t="s">
        <v>108</v>
      </c>
    </row>
    <row r="27" spans="1:4" x14ac:dyDescent="0.3">
      <c r="A27" t="s">
        <v>77</v>
      </c>
      <c r="B27" s="2" t="s">
        <v>78</v>
      </c>
      <c r="C27" s="2" t="s">
        <v>89</v>
      </c>
    </row>
    <row r="28" spans="1:4" x14ac:dyDescent="0.3">
      <c r="A28" t="s">
        <v>77</v>
      </c>
      <c r="B28" s="2" t="s">
        <v>77</v>
      </c>
      <c r="C28" s="2" t="s">
        <v>95</v>
      </c>
    </row>
    <row r="29" spans="1:4" x14ac:dyDescent="0.3">
      <c r="A29" t="s">
        <v>78</v>
      </c>
      <c r="B29" s="2" t="s">
        <v>78</v>
      </c>
      <c r="C29" s="2" t="s">
        <v>89</v>
      </c>
    </row>
    <row r="30" spans="1:4" x14ac:dyDescent="0.3">
      <c r="A30" t="s">
        <v>77</v>
      </c>
      <c r="B30" s="2" t="s">
        <v>77</v>
      </c>
      <c r="C30" s="2" t="s">
        <v>109</v>
      </c>
      <c r="D30">
        <v>1</v>
      </c>
    </row>
    <row r="31" spans="1:4" x14ac:dyDescent="0.3">
      <c r="A31" t="s">
        <v>77</v>
      </c>
      <c r="B31" s="2" t="s">
        <v>78</v>
      </c>
      <c r="C31" s="2" t="s">
        <v>89</v>
      </c>
    </row>
    <row r="32" spans="1:4" x14ac:dyDescent="0.3">
      <c r="A32" t="s">
        <v>77</v>
      </c>
      <c r="B32" s="2" t="s">
        <v>78</v>
      </c>
      <c r="C32" s="2" t="s">
        <v>89</v>
      </c>
    </row>
    <row r="33" spans="1:4" x14ac:dyDescent="0.3">
      <c r="A33" t="s">
        <v>77</v>
      </c>
      <c r="B33" s="2" t="s">
        <v>78</v>
      </c>
      <c r="C33" s="2" t="s">
        <v>89</v>
      </c>
    </row>
    <row r="34" spans="1:4" x14ac:dyDescent="0.3">
      <c r="A34" t="s">
        <v>77</v>
      </c>
      <c r="B34" s="2" t="s">
        <v>78</v>
      </c>
      <c r="C34" s="2" t="s">
        <v>89</v>
      </c>
    </row>
    <row r="35" spans="1:4" x14ac:dyDescent="0.3">
      <c r="A35" t="s">
        <v>78</v>
      </c>
      <c r="B35" s="2" t="s">
        <v>78</v>
      </c>
      <c r="C35" s="2" t="s">
        <v>89</v>
      </c>
    </row>
    <row r="36" spans="1:4" x14ac:dyDescent="0.3">
      <c r="A36" t="s">
        <v>78</v>
      </c>
      <c r="B36" s="2" t="s">
        <v>78</v>
      </c>
      <c r="C36" s="2" t="s">
        <v>89</v>
      </c>
      <c r="D36" s="1">
        <v>1</v>
      </c>
    </row>
    <row r="37" spans="1:4" x14ac:dyDescent="0.3">
      <c r="A37" t="s">
        <v>78</v>
      </c>
      <c r="B37" s="2" t="s">
        <v>78</v>
      </c>
      <c r="C37" s="2" t="s">
        <v>89</v>
      </c>
    </row>
    <row r="38" spans="1:4" x14ac:dyDescent="0.3">
      <c r="A38" s="1" t="s">
        <v>78</v>
      </c>
      <c r="B38" s="2" t="s">
        <v>78</v>
      </c>
      <c r="C38" s="2" t="s">
        <v>89</v>
      </c>
      <c r="D38">
        <v>1</v>
      </c>
    </row>
    <row r="39" spans="1:4" x14ac:dyDescent="0.3">
      <c r="A39" t="s">
        <v>77</v>
      </c>
      <c r="B39" s="2" t="s">
        <v>77</v>
      </c>
      <c r="C39" s="2" t="s">
        <v>109</v>
      </c>
      <c r="D39">
        <v>1</v>
      </c>
    </row>
    <row r="40" spans="1:4" x14ac:dyDescent="0.3">
      <c r="A40" t="s">
        <v>77</v>
      </c>
      <c r="B40" s="2" t="s">
        <v>78</v>
      </c>
      <c r="C40" s="2" t="s">
        <v>89</v>
      </c>
      <c r="D40">
        <v>1</v>
      </c>
    </row>
    <row r="41" spans="1:4" x14ac:dyDescent="0.3">
      <c r="A41" t="s">
        <v>77</v>
      </c>
      <c r="B41" s="2" t="s">
        <v>78</v>
      </c>
      <c r="C41" s="2" t="s">
        <v>89</v>
      </c>
    </row>
    <row r="42" spans="1:4" x14ac:dyDescent="0.3">
      <c r="A42" t="s">
        <v>77</v>
      </c>
      <c r="B42" s="2" t="s">
        <v>77</v>
      </c>
      <c r="C42" s="4" t="s">
        <v>86</v>
      </c>
    </row>
    <row r="43" spans="1:4" x14ac:dyDescent="0.3">
      <c r="A43" t="s">
        <v>77</v>
      </c>
      <c r="B43" s="2" t="s">
        <v>78</v>
      </c>
      <c r="C43" s="2" t="s">
        <v>89</v>
      </c>
    </row>
    <row r="44" spans="1:4" x14ac:dyDescent="0.3">
      <c r="A44" t="s">
        <v>78</v>
      </c>
      <c r="B44" s="2" t="s">
        <v>78</v>
      </c>
      <c r="C44" s="2" t="s">
        <v>89</v>
      </c>
    </row>
    <row r="45" spans="1:4" x14ac:dyDescent="0.3">
      <c r="A45" t="s">
        <v>78</v>
      </c>
      <c r="B45" s="2" t="s">
        <v>77</v>
      </c>
      <c r="C45" s="2" t="s">
        <v>109</v>
      </c>
    </row>
    <row r="49" spans="1:4" x14ac:dyDescent="0.3">
      <c r="A49">
        <f>COUNTIF(A1:A45,"Yes")</f>
        <v>27</v>
      </c>
      <c r="B49">
        <v>19</v>
      </c>
      <c r="C49">
        <f>COUNTIFS(A1:A45, "Yes", D1:D45, "&lt;&gt;1")</f>
        <v>19</v>
      </c>
    </row>
    <row r="50" spans="1:4" x14ac:dyDescent="0.3">
      <c r="A50">
        <f>COUNTIF(A1:A45, "No")</f>
        <v>17</v>
      </c>
      <c r="B50">
        <v>15</v>
      </c>
      <c r="C50">
        <f>COUNTIFS(A1:A45, "No", D1:D45, "&lt;&gt;1")</f>
        <v>15</v>
      </c>
    </row>
    <row r="51" spans="1:4" x14ac:dyDescent="0.3">
      <c r="A51">
        <f>A49+A50</f>
        <v>44</v>
      </c>
      <c r="B51">
        <f>B50+B49</f>
        <v>34</v>
      </c>
    </row>
    <row r="52" spans="1:4" x14ac:dyDescent="0.3">
      <c r="A52">
        <f>A49/A51</f>
        <v>0.61363636363636365</v>
      </c>
      <c r="B52">
        <f>B49/B51</f>
        <v>0.55882352941176472</v>
      </c>
    </row>
    <row r="54" spans="1:4" x14ac:dyDescent="0.3">
      <c r="B54" t="s">
        <v>104</v>
      </c>
      <c r="C54" t="s">
        <v>111</v>
      </c>
    </row>
    <row r="55" spans="1:4" x14ac:dyDescent="0.3">
      <c r="A55" t="s">
        <v>110</v>
      </c>
      <c r="B55">
        <f>COUNTIFS(A1:A45,"No",B1:B45, "Yes")</f>
        <v>4</v>
      </c>
      <c r="C55">
        <f>COUNTIFS(A1:A45,"Yes",B1:B45, "Yes")</f>
        <v>12</v>
      </c>
      <c r="D55">
        <f>COUNTIFS(A1:A45,"Yes",B1:B45, "Yes",D1:D45,"&lt;&gt;1")</f>
        <v>6</v>
      </c>
    </row>
    <row r="56" spans="1:4" x14ac:dyDescent="0.3">
      <c r="A56" t="s">
        <v>93</v>
      </c>
      <c r="B56">
        <v>2</v>
      </c>
      <c r="C56">
        <v>4</v>
      </c>
      <c r="D56">
        <v>2</v>
      </c>
    </row>
  </sheetData>
  <conditionalFormatting sqref="D1:D45">
    <cfRule type="cellIs" dxfId="2" priority="3" operator="equal">
      <formula>1</formula>
    </cfRule>
  </conditionalFormatting>
  <conditionalFormatting sqref="A1:A45">
    <cfRule type="cellIs" dxfId="1" priority="2" operator="equal">
      <formula>"No"</formula>
    </cfRule>
  </conditionalFormatting>
  <conditionalFormatting sqref="B1:B45">
    <cfRule type="cellIs" dxfId="0" priority="1" operator="equal">
      <formula>"Yes"</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2024-04-25T11:21:43Z</dcterms:created>
  <dcterms:modified xsi:type="dcterms:W3CDTF">2024-04-26T23:15:02Z</dcterms:modified>
</cp:coreProperties>
</file>