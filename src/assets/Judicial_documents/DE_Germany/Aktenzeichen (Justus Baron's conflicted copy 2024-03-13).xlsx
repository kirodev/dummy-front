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0B499054-BF8C-4500-8999-956BF6E20DB8}" xr6:coauthVersionLast="47" xr6:coauthVersionMax="47" xr10:uidLastSave="{00000000-0000-0000-0000-000000000000}"/>
  <bookViews>
    <workbookView xWindow="28680" yWindow="-120" windowWidth="29040" windowHeight="15720" firstSheet="2" activeTab="6" xr2:uid="{720BF510-BA1F-407E-89DC-EAC7B03E1F62}"/>
  </bookViews>
  <sheets>
    <sheet name="Sheet1" sheetId="1" r:id="rId1"/>
    <sheet name="Sheet2" sheetId="2" r:id="rId2"/>
    <sheet name="Sheet3" sheetId="3" r:id="rId3"/>
    <sheet name="Sheet4" sheetId="4" r:id="rId4"/>
    <sheet name="Old graphs" sheetId="5" r:id="rId5"/>
    <sheet name="Lag graphs" sheetId="6" r:id="rId6"/>
    <sheet name="Patent validity graphs" sheetId="7" r:id="rId7"/>
    <sheet name="FRAND pools and worldwid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6" i="7" l="1"/>
  <c r="AG4" i="7"/>
  <c r="AG2" i="7"/>
  <c r="V6" i="7"/>
  <c r="V5" i="7"/>
  <c r="V4" i="7"/>
  <c r="V3" i="7"/>
  <c r="V2"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D46" i="7"/>
  <c r="D45" i="7"/>
  <c r="D44" i="7"/>
  <c r="D43" i="7"/>
  <c r="D42"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3" i="7"/>
  <c r="C4" i="7"/>
  <c r="C5" i="7"/>
  <c r="C6" i="7"/>
  <c r="C7" i="7"/>
  <c r="C8" i="7"/>
  <c r="C9" i="7"/>
  <c r="AI2" i="7" s="1"/>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2" i="7"/>
  <c r="AF2" i="7" s="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2"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3" i="7"/>
  <c r="A4" i="7"/>
  <c r="A5" i="7"/>
  <c r="A6" i="7"/>
  <c r="A7" i="7"/>
  <c r="A8" i="7"/>
  <c r="A9" i="7"/>
  <c r="A10" i="7"/>
  <c r="A11" i="7"/>
  <c r="A12" i="7"/>
  <c r="A13" i="7"/>
  <c r="A14" i="7"/>
  <c r="A15" i="7"/>
  <c r="A16" i="7"/>
  <c r="A2" i="7"/>
  <c r="K5" i="8"/>
  <c r="K4" i="8"/>
  <c r="K3" i="8"/>
  <c r="J5" i="8"/>
  <c r="J4" i="8"/>
  <c r="J3" i="8"/>
  <c r="D5" i="8"/>
  <c r="D4" i="8"/>
  <c r="D3" i="8"/>
  <c r="C5" i="8"/>
  <c r="C4" i="8"/>
  <c r="C3" i="8"/>
  <c r="B2" i="5"/>
  <c r="V7" i="7" l="1"/>
  <c r="AE2" i="7"/>
  <c r="AF25" i="7"/>
  <c r="F42" i="6"/>
  <c r="F43" i="6"/>
  <c r="F44" i="6"/>
  <c r="F45" i="6"/>
  <c r="F46" i="6"/>
  <c r="F39" i="6"/>
  <c r="F40" i="6"/>
  <c r="F41" i="6"/>
  <c r="F38" i="6"/>
  <c r="F37" i="6"/>
  <c r="F32" i="6"/>
  <c r="F33" i="6"/>
  <c r="F34" i="6"/>
  <c r="F35" i="6"/>
  <c r="F36" i="6"/>
  <c r="F31" i="6"/>
  <c r="F20" i="6"/>
  <c r="F21" i="6"/>
  <c r="F22" i="6"/>
  <c r="F23" i="6"/>
  <c r="F24" i="6"/>
  <c r="F25" i="6"/>
  <c r="F26" i="6"/>
  <c r="F27" i="6"/>
  <c r="F28" i="6"/>
  <c r="F29" i="6"/>
  <c r="F30" i="6"/>
  <c r="F18" i="6"/>
  <c r="F19" i="6"/>
  <c r="F5" i="6"/>
  <c r="F6" i="6"/>
  <c r="F7" i="6"/>
  <c r="F8" i="6"/>
  <c r="F9" i="6"/>
  <c r="F10" i="6"/>
  <c r="F11" i="6"/>
  <c r="F12" i="6"/>
  <c r="F13" i="6"/>
  <c r="F14" i="6"/>
  <c r="F15" i="6"/>
  <c r="F16" i="6"/>
  <c r="F17" i="6"/>
  <c r="F3" i="6"/>
  <c r="F4" i="6"/>
  <c r="F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2" i="6"/>
  <c r="E46" i="6"/>
  <c r="E45" i="6"/>
  <c r="E44" i="6"/>
  <c r="L44" i="6" s="1"/>
  <c r="E43" i="6"/>
  <c r="L43" i="6" s="1"/>
  <c r="E42" i="6"/>
  <c r="E41" i="6"/>
  <c r="E40" i="6"/>
  <c r="E39" i="6"/>
  <c r="L39" i="6" s="1"/>
  <c r="E38" i="6"/>
  <c r="E37" i="6"/>
  <c r="L37" i="6" s="1"/>
  <c r="E36" i="6"/>
  <c r="E35" i="6"/>
  <c r="E34" i="6"/>
  <c r="L34" i="6" s="1"/>
  <c r="E33" i="6"/>
  <c r="E32" i="6"/>
  <c r="L32" i="6" s="1"/>
  <c r="E31" i="6"/>
  <c r="L31" i="6" s="1"/>
  <c r="E30" i="6"/>
  <c r="E29" i="6"/>
  <c r="L29" i="6" s="1"/>
  <c r="E28" i="6"/>
  <c r="L28" i="6" s="1"/>
  <c r="E27" i="6"/>
  <c r="L27" i="6" s="1"/>
  <c r="E26" i="6"/>
  <c r="L26" i="6" s="1"/>
  <c r="E25" i="6"/>
  <c r="E24" i="6"/>
  <c r="L24" i="6" s="1"/>
  <c r="E23" i="6"/>
  <c r="L23" i="6" s="1"/>
  <c r="E22" i="6"/>
  <c r="E21" i="6"/>
  <c r="E20" i="6"/>
  <c r="E19" i="6"/>
  <c r="L19" i="6" s="1"/>
  <c r="E18" i="6"/>
  <c r="L18" i="6" s="1"/>
  <c r="E17" i="6"/>
  <c r="E16" i="6"/>
  <c r="L16" i="6" s="1"/>
  <c r="E15" i="6"/>
  <c r="L15" i="6" s="1"/>
  <c r="E14" i="6"/>
  <c r="E13" i="6"/>
  <c r="L13" i="6" s="1"/>
  <c r="E12" i="6"/>
  <c r="L12" i="6" s="1"/>
  <c r="E11" i="6"/>
  <c r="L11" i="6" s="1"/>
  <c r="E10" i="6"/>
  <c r="L10" i="6" s="1"/>
  <c r="E9" i="6"/>
  <c r="E8" i="6"/>
  <c r="E7" i="6"/>
  <c r="L7" i="6" s="1"/>
  <c r="E6" i="6"/>
  <c r="E5" i="6"/>
  <c r="E4" i="6"/>
  <c r="L4" i="6" s="1"/>
  <c r="E3" i="6"/>
  <c r="L3" i="6" s="1"/>
  <c r="L40" i="6"/>
  <c r="L8" i="6"/>
  <c r="L42" i="6"/>
  <c r="E2" i="6"/>
  <c r="L2" i="6" s="1"/>
  <c r="D46" i="6"/>
  <c r="K45" i="6"/>
  <c r="D44" i="6"/>
  <c r="K44" i="6" s="1"/>
  <c r="D43" i="6"/>
  <c r="K43" i="6" s="1"/>
  <c r="D42" i="6"/>
  <c r="K42" i="6" s="1"/>
  <c r="D41" i="6"/>
  <c r="D40" i="6"/>
  <c r="D39" i="6"/>
  <c r="K39" i="6" s="1"/>
  <c r="D38" i="6"/>
  <c r="D37" i="6"/>
  <c r="K37" i="6" s="1"/>
  <c r="D36" i="6"/>
  <c r="K36" i="6" s="1"/>
  <c r="D35" i="6"/>
  <c r="K35" i="6" s="1"/>
  <c r="D34" i="6"/>
  <c r="K34" i="6" s="1"/>
  <c r="D33" i="6"/>
  <c r="K33" i="6" s="1"/>
  <c r="D32" i="6"/>
  <c r="K32" i="6" s="1"/>
  <c r="D31" i="6"/>
  <c r="K31" i="6" s="1"/>
  <c r="D30" i="6"/>
  <c r="K30" i="6" s="1"/>
  <c r="D29" i="6"/>
  <c r="K29" i="6" s="1"/>
  <c r="D28" i="6"/>
  <c r="K28" i="6" s="1"/>
  <c r="D3" i="6"/>
  <c r="D4" i="6"/>
  <c r="D5" i="6"/>
  <c r="D6" i="6"/>
  <c r="D7" i="6"/>
  <c r="D8" i="6"/>
  <c r="D9" i="6"/>
  <c r="K9" i="6" s="1"/>
  <c r="D10" i="6"/>
  <c r="K10" i="6" s="1"/>
  <c r="D11" i="6"/>
  <c r="D12" i="6"/>
  <c r="D13" i="6"/>
  <c r="D14" i="6"/>
  <c r="K14" i="6" s="1"/>
  <c r="D15" i="6"/>
  <c r="D16" i="6"/>
  <c r="K16" i="6" s="1"/>
  <c r="D17" i="6"/>
  <c r="K17" i="6" s="1"/>
  <c r="D18" i="6"/>
  <c r="K18" i="6" s="1"/>
  <c r="D19" i="6"/>
  <c r="D20" i="6"/>
  <c r="D21" i="6"/>
  <c r="D22" i="6"/>
  <c r="D23" i="6"/>
  <c r="D24" i="6"/>
  <c r="K24" i="6" s="1"/>
  <c r="D25" i="6"/>
  <c r="K25" i="6" s="1"/>
  <c r="D26" i="6"/>
  <c r="K26" i="6" s="1"/>
  <c r="D2" i="6"/>
  <c r="K2" i="6" s="1"/>
  <c r="C14" i="6"/>
  <c r="J14" i="6" s="1"/>
  <c r="C46" i="6"/>
  <c r="C45" i="6"/>
  <c r="C44" i="6"/>
  <c r="J44" i="6" s="1"/>
  <c r="C43" i="6"/>
  <c r="C42" i="6"/>
  <c r="J42" i="6" s="1"/>
  <c r="C41" i="6"/>
  <c r="J41" i="6" s="1"/>
  <c r="C40" i="6"/>
  <c r="J40" i="6" s="1"/>
  <c r="C39" i="6"/>
  <c r="J39" i="6" s="1"/>
  <c r="C38" i="6"/>
  <c r="C37" i="6"/>
  <c r="C36" i="6"/>
  <c r="J36" i="6" s="1"/>
  <c r="C35" i="6"/>
  <c r="J35" i="6" s="1"/>
  <c r="C34" i="6"/>
  <c r="C33" i="6"/>
  <c r="J33" i="6" s="1"/>
  <c r="C32" i="6"/>
  <c r="J32" i="6" s="1"/>
  <c r="C31" i="6"/>
  <c r="J31" i="6" s="1"/>
  <c r="C30" i="6"/>
  <c r="C29" i="6"/>
  <c r="C28" i="6"/>
  <c r="J28" i="6" s="1"/>
  <c r="C27" i="6"/>
  <c r="C26" i="6"/>
  <c r="J26" i="6" s="1"/>
  <c r="C25" i="6"/>
  <c r="C24" i="6"/>
  <c r="C23" i="6"/>
  <c r="J23" i="6" s="1"/>
  <c r="C22" i="6"/>
  <c r="C21" i="6"/>
  <c r="C20" i="6"/>
  <c r="J20" i="6" s="1"/>
  <c r="C19" i="6"/>
  <c r="J19" i="6" s="1"/>
  <c r="C18" i="6"/>
  <c r="J18" i="6" s="1"/>
  <c r="C17" i="6"/>
  <c r="J17" i="6" s="1"/>
  <c r="C16" i="6"/>
  <c r="J16" i="6" s="1"/>
  <c r="C15" i="6"/>
  <c r="J15" i="6" s="1"/>
  <c r="C13" i="6"/>
  <c r="C12" i="6"/>
  <c r="J12" i="6" s="1"/>
  <c r="C11" i="6"/>
  <c r="C10" i="6"/>
  <c r="J10" i="6" s="1"/>
  <c r="C9" i="6"/>
  <c r="J9" i="6" s="1"/>
  <c r="C8" i="6"/>
  <c r="J8" i="6" s="1"/>
  <c r="C7" i="6"/>
  <c r="J7" i="6" s="1"/>
  <c r="C6" i="6"/>
  <c r="C5" i="6"/>
  <c r="C4" i="6"/>
  <c r="J4" i="6" s="1"/>
  <c r="C3" i="6"/>
  <c r="J3" i="6" s="1"/>
  <c r="J24" i="6"/>
  <c r="J34" i="6"/>
  <c r="C2" i="6"/>
  <c r="J2" i="6" s="1"/>
  <c r="B43" i="6"/>
  <c r="I43" i="6" s="1"/>
  <c r="B44" i="6"/>
  <c r="I44" i="6" s="1"/>
  <c r="B45" i="6"/>
  <c r="I45" i="6" s="1"/>
  <c r="B46" i="6"/>
  <c r="I46" i="6" s="1"/>
  <c r="B42" i="6"/>
  <c r="B29" i="6"/>
  <c r="B30" i="6"/>
  <c r="I30" i="6" s="1"/>
  <c r="B31" i="6"/>
  <c r="I31" i="6" s="1"/>
  <c r="B32" i="6"/>
  <c r="I32" i="6" s="1"/>
  <c r="B33" i="6"/>
  <c r="B34" i="6"/>
  <c r="B35" i="6"/>
  <c r="I35" i="6" s="1"/>
  <c r="B36" i="6"/>
  <c r="I36" i="6" s="1"/>
  <c r="B37" i="6"/>
  <c r="B38" i="6"/>
  <c r="I38" i="6" s="1"/>
  <c r="B39" i="6"/>
  <c r="I39" i="6" s="1"/>
  <c r="B28" i="6"/>
  <c r="I28" i="6" s="1"/>
  <c r="B3" i="6"/>
  <c r="I3" i="6" s="1"/>
  <c r="B4" i="6"/>
  <c r="I4" i="6" s="1"/>
  <c r="B5" i="6"/>
  <c r="I5" i="6" s="1"/>
  <c r="B6" i="6"/>
  <c r="I6" i="6" s="1"/>
  <c r="B7" i="6"/>
  <c r="B8" i="6"/>
  <c r="I8" i="6" s="1"/>
  <c r="B9" i="6"/>
  <c r="I9" i="6" s="1"/>
  <c r="B10" i="6"/>
  <c r="I10" i="6" s="1"/>
  <c r="B11" i="6"/>
  <c r="B12" i="6"/>
  <c r="B13" i="6"/>
  <c r="I13" i="6" s="1"/>
  <c r="B14" i="6"/>
  <c r="B15" i="6"/>
  <c r="B16" i="6"/>
  <c r="I16" i="6" s="1"/>
  <c r="B17" i="6"/>
  <c r="I17" i="6" s="1"/>
  <c r="B18" i="6"/>
  <c r="I18" i="6" s="1"/>
  <c r="B19" i="6"/>
  <c r="B20" i="6"/>
  <c r="B21" i="6"/>
  <c r="I21" i="6" s="1"/>
  <c r="B22" i="6"/>
  <c r="B23" i="6"/>
  <c r="B24" i="6"/>
  <c r="I24" i="6" s="1"/>
  <c r="B25" i="6"/>
  <c r="I25" i="6" s="1"/>
  <c r="B26" i="6"/>
  <c r="I26" i="6" s="1"/>
  <c r="B27" i="6"/>
  <c r="I27" i="6" s="1"/>
  <c r="B2" i="6"/>
  <c r="I2" i="6" s="1"/>
  <c r="AF24" i="7"/>
  <c r="AF23" i="7"/>
  <c r="AF4" i="7"/>
  <c r="U30" i="7"/>
  <c r="W30" i="7"/>
  <c r="T30" i="7"/>
  <c r="W29" i="7"/>
  <c r="U29" i="7"/>
  <c r="T29" i="7"/>
  <c r="U28" i="7"/>
  <c r="W28" i="7"/>
  <c r="T28"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2" i="7"/>
  <c r="L5" i="6"/>
  <c r="L6" i="6"/>
  <c r="L9" i="6"/>
  <c r="L14" i="6"/>
  <c r="L17" i="6"/>
  <c r="L20" i="6"/>
  <c r="L21" i="6"/>
  <c r="L22" i="6"/>
  <c r="L25" i="6"/>
  <c r="L30" i="6"/>
  <c r="L33" i="6"/>
  <c r="L35" i="6"/>
  <c r="L36" i="6"/>
  <c r="L38" i="6"/>
  <c r="L41" i="6"/>
  <c r="L45" i="6"/>
  <c r="L46" i="6"/>
  <c r="K3" i="6"/>
  <c r="K4" i="6"/>
  <c r="K5" i="6"/>
  <c r="K6" i="6"/>
  <c r="K7" i="6"/>
  <c r="K8" i="6"/>
  <c r="K11" i="6"/>
  <c r="K12" i="6"/>
  <c r="K13" i="6"/>
  <c r="K15" i="6"/>
  <c r="K19" i="6"/>
  <c r="K20" i="6"/>
  <c r="K21" i="6"/>
  <c r="K22" i="6"/>
  <c r="K23" i="6"/>
  <c r="K27" i="6"/>
  <c r="K38" i="6"/>
  <c r="K40" i="6"/>
  <c r="K41" i="6"/>
  <c r="K46" i="6"/>
  <c r="J5" i="6"/>
  <c r="J6" i="6"/>
  <c r="J11" i="6"/>
  <c r="J13" i="6"/>
  <c r="J21" i="6"/>
  <c r="J22" i="6"/>
  <c r="J25" i="6"/>
  <c r="J27" i="6"/>
  <c r="J29" i="6"/>
  <c r="J30" i="6"/>
  <c r="J37" i="6"/>
  <c r="J38" i="6"/>
  <c r="J43" i="6"/>
  <c r="J45" i="6"/>
  <c r="J46" i="6"/>
  <c r="I7" i="6"/>
  <c r="I11" i="6"/>
  <c r="I12" i="6"/>
  <c r="I14" i="6"/>
  <c r="I15" i="6"/>
  <c r="I19" i="6"/>
  <c r="I20" i="6"/>
  <c r="I22" i="6"/>
  <c r="I23" i="6"/>
  <c r="I29" i="6"/>
  <c r="I33" i="6"/>
  <c r="I34" i="6"/>
  <c r="I37" i="6"/>
  <c r="I40" i="6"/>
  <c r="I41" i="6"/>
  <c r="I42" i="6"/>
  <c r="P38" i="7" l="1"/>
  <c r="P30" i="7"/>
  <c r="P22" i="7"/>
  <c r="P14" i="7"/>
  <c r="P46" i="7"/>
  <c r="AH2" i="7"/>
  <c r="AH4" i="7"/>
  <c r="AE5" i="6"/>
  <c r="AE6" i="6"/>
  <c r="O9" i="6"/>
  <c r="Q9" i="6" s="1"/>
  <c r="O13" i="6"/>
  <c r="Q13" i="6" s="1"/>
  <c r="P36" i="7"/>
  <c r="O5" i="6"/>
  <c r="Q5" i="6" s="1"/>
  <c r="O21" i="6"/>
  <c r="R44" i="6"/>
  <c r="R20" i="6"/>
  <c r="R15" i="6"/>
  <c r="R23" i="6"/>
  <c r="R31" i="6"/>
  <c r="R39" i="6"/>
  <c r="R42" i="6"/>
  <c r="R18" i="6"/>
  <c r="R7" i="6"/>
  <c r="R12" i="6"/>
  <c r="R36" i="6"/>
  <c r="R10" i="6"/>
  <c r="R34" i="6"/>
  <c r="R28" i="6"/>
  <c r="R26" i="6"/>
  <c r="R4" i="6"/>
  <c r="R2" i="6"/>
  <c r="O37" i="6"/>
  <c r="O32" i="6"/>
  <c r="O45" i="6"/>
  <c r="Q45" i="6" s="1"/>
  <c r="O29" i="6"/>
  <c r="O40" i="6"/>
  <c r="O8" i="6"/>
  <c r="O16" i="6"/>
  <c r="N27" i="6"/>
  <c r="N11" i="6"/>
  <c r="N3" i="6"/>
  <c r="V3" i="6" s="1"/>
  <c r="N19" i="6"/>
  <c r="N8" i="6"/>
  <c r="N32" i="6"/>
  <c r="N26" i="6"/>
  <c r="N18" i="6"/>
  <c r="N10" i="6"/>
  <c r="N43" i="6"/>
  <c r="N35" i="6"/>
  <c r="N24" i="6"/>
  <c r="N16" i="6"/>
  <c r="N42" i="6"/>
  <c r="N34" i="6"/>
  <c r="N40" i="6"/>
  <c r="P6" i="7"/>
  <c r="P45" i="7"/>
  <c r="P37" i="7"/>
  <c r="P29" i="7"/>
  <c r="P21" i="7"/>
  <c r="P13" i="7"/>
  <c r="P5" i="7"/>
  <c r="P12" i="7"/>
  <c r="P44" i="7"/>
  <c r="P20" i="7"/>
  <c r="P28" i="7"/>
  <c r="P35" i="7"/>
  <c r="P3" i="7"/>
  <c r="P42" i="7"/>
  <c r="P26" i="7"/>
  <c r="P40" i="7"/>
  <c r="P32" i="7"/>
  <c r="P24" i="7"/>
  <c r="W6" i="7" s="1"/>
  <c r="P16" i="7"/>
  <c r="P8" i="7"/>
  <c r="P19" i="7"/>
  <c r="P34" i="7"/>
  <c r="P10" i="7"/>
  <c r="P2" i="7"/>
  <c r="P39" i="7"/>
  <c r="P31" i="7"/>
  <c r="P23" i="7"/>
  <c r="P15" i="7"/>
  <c r="P7" i="7"/>
  <c r="Q4" i="7"/>
  <c r="P11" i="7"/>
  <c r="P43" i="7"/>
  <c r="P27" i="7"/>
  <c r="P18" i="7"/>
  <c r="P41" i="7"/>
  <c r="P33" i="7"/>
  <c r="P25" i="7"/>
  <c r="P17" i="7"/>
  <c r="P9" i="7"/>
  <c r="P4" i="7"/>
  <c r="W31" i="7"/>
  <c r="Q45" i="7"/>
  <c r="Q37" i="7"/>
  <c r="Q29" i="7"/>
  <c r="Q21" i="7"/>
  <c r="Q13" i="7"/>
  <c r="Q5" i="7"/>
  <c r="Q44" i="7"/>
  <c r="Q36" i="7"/>
  <c r="Q28" i="7"/>
  <c r="Q20" i="7"/>
  <c r="Q12" i="7"/>
  <c r="Q43" i="7"/>
  <c r="Q35" i="7"/>
  <c r="Q27" i="7"/>
  <c r="Q19" i="7"/>
  <c r="Q11" i="7"/>
  <c r="Q3" i="7"/>
  <c r="Q42" i="7"/>
  <c r="Q34" i="7"/>
  <c r="Q26" i="7"/>
  <c r="Q18" i="7"/>
  <c r="Q10" i="7"/>
  <c r="Q41" i="7"/>
  <c r="Q33" i="7"/>
  <c r="Q25" i="7"/>
  <c r="Q17" i="7"/>
  <c r="Q9" i="7"/>
  <c r="Q40" i="7"/>
  <c r="Q32" i="7"/>
  <c r="Q24" i="7"/>
  <c r="Q16" i="7"/>
  <c r="Q8" i="7"/>
  <c r="Q2" i="7"/>
  <c r="Q39" i="7"/>
  <c r="Q31" i="7"/>
  <c r="Q23" i="7"/>
  <c r="Q15" i="7"/>
  <c r="Q7" i="7"/>
  <c r="Q46" i="7"/>
  <c r="Q38" i="7"/>
  <c r="Q30" i="7"/>
  <c r="Q22" i="7"/>
  <c r="Q14" i="7"/>
  <c r="Q6" i="7"/>
  <c r="T31" i="7"/>
  <c r="U31" i="7"/>
  <c r="O46" i="6"/>
  <c r="O38" i="6"/>
  <c r="O30" i="6"/>
  <c r="O22" i="6"/>
  <c r="O14" i="6"/>
  <c r="O6" i="6"/>
  <c r="AD6" i="6" s="1"/>
  <c r="N41" i="6"/>
  <c r="N33" i="6"/>
  <c r="N25" i="6"/>
  <c r="N17" i="6"/>
  <c r="X4" i="6" s="1"/>
  <c r="N9" i="6"/>
  <c r="R43" i="6"/>
  <c r="R35" i="6"/>
  <c r="R27" i="6"/>
  <c r="R19" i="6"/>
  <c r="R11" i="6"/>
  <c r="R3" i="6"/>
  <c r="D6" i="8"/>
  <c r="N39" i="6"/>
  <c r="N15" i="6"/>
  <c r="N7" i="6"/>
  <c r="W2" i="6" s="1"/>
  <c r="N23" i="6"/>
  <c r="N31" i="6"/>
  <c r="N2" i="6"/>
  <c r="V4" i="6" s="1"/>
  <c r="C6" i="8"/>
  <c r="K6" i="8"/>
  <c r="J6" i="8"/>
  <c r="O39" i="6"/>
  <c r="O7" i="6"/>
  <c r="N22" i="6"/>
  <c r="R45" i="6"/>
  <c r="N38" i="6"/>
  <c r="N14" i="6"/>
  <c r="N45" i="6"/>
  <c r="N29" i="6"/>
  <c r="N13" i="6"/>
  <c r="O33" i="6"/>
  <c r="O17" i="6"/>
  <c r="AE4" i="6" s="1"/>
  <c r="O31" i="6"/>
  <c r="R37" i="6"/>
  <c r="N46" i="6"/>
  <c r="N30" i="6"/>
  <c r="N6" i="6"/>
  <c r="N37" i="6"/>
  <c r="N21" i="6"/>
  <c r="N5" i="6"/>
  <c r="W3" i="6" s="1"/>
  <c r="O41" i="6"/>
  <c r="O25" i="6"/>
  <c r="N44" i="6"/>
  <c r="N36" i="6"/>
  <c r="N28" i="6"/>
  <c r="N20" i="6"/>
  <c r="N12" i="6"/>
  <c r="N4" i="6"/>
  <c r="R40" i="6"/>
  <c r="R32" i="6"/>
  <c r="R24" i="6"/>
  <c r="R16" i="6"/>
  <c r="R8" i="6"/>
  <c r="O24" i="6"/>
  <c r="R29" i="6"/>
  <c r="O23" i="6"/>
  <c r="R21" i="6"/>
  <c r="R13" i="6"/>
  <c r="O2" i="6"/>
  <c r="O15" i="6"/>
  <c r="R5" i="6"/>
  <c r="AK2" i="6" s="1"/>
  <c r="O44" i="6"/>
  <c r="O36" i="6"/>
  <c r="O28" i="6"/>
  <c r="O20" i="6"/>
  <c r="O12" i="6"/>
  <c r="O4" i="6"/>
  <c r="R41" i="6"/>
  <c r="R33" i="6"/>
  <c r="R25" i="6"/>
  <c r="R17" i="6"/>
  <c r="AL4" i="6" s="1"/>
  <c r="R9" i="6"/>
  <c r="O43" i="6"/>
  <c r="O35" i="6"/>
  <c r="O27" i="6"/>
  <c r="O19" i="6"/>
  <c r="O11" i="6"/>
  <c r="Q11" i="6" s="1"/>
  <c r="O3" i="6"/>
  <c r="O42" i="6"/>
  <c r="O34" i="6"/>
  <c r="O26" i="6"/>
  <c r="O18" i="6"/>
  <c r="O10" i="6"/>
  <c r="Q10" i="6" s="1"/>
  <c r="R46" i="6"/>
  <c r="R38" i="6"/>
  <c r="R30" i="6"/>
  <c r="R22" i="6"/>
  <c r="AK5" i="6" s="1"/>
  <c r="R14" i="6"/>
  <c r="R6" i="6"/>
  <c r="W5" i="7" l="1"/>
  <c r="W4" i="7"/>
  <c r="U6" i="7"/>
  <c r="W2" i="7"/>
  <c r="W3" i="7"/>
  <c r="AD4" i="6"/>
  <c r="AL2" i="6"/>
  <c r="AD3" i="6"/>
  <c r="AE3" i="6"/>
  <c r="W4" i="6"/>
  <c r="AK4" i="6"/>
  <c r="X3" i="6"/>
  <c r="X5" i="6"/>
  <c r="V5" i="6"/>
  <c r="AK3" i="6"/>
  <c r="V2" i="6"/>
  <c r="X2" i="6"/>
  <c r="AK6" i="6"/>
  <c r="AD5" i="6"/>
  <c r="AL5" i="6"/>
  <c r="AL3" i="6"/>
  <c r="AE2" i="6"/>
  <c r="AC3" i="6"/>
  <c r="AL6" i="6"/>
  <c r="P5" i="6"/>
  <c r="AD2" i="6"/>
  <c r="W5" i="6"/>
  <c r="AJ5" i="6"/>
  <c r="AJ4" i="6"/>
  <c r="AJ2" i="6"/>
  <c r="AJ6" i="6"/>
  <c r="AJ3" i="6"/>
  <c r="AC2" i="6"/>
  <c r="AC6" i="6"/>
  <c r="AC5" i="6"/>
  <c r="U5" i="7"/>
  <c r="P42" i="6"/>
  <c r="Q42" i="6"/>
  <c r="P46" i="6"/>
  <c r="Q46" i="6"/>
  <c r="P44" i="6"/>
  <c r="Q44" i="6"/>
  <c r="P31" i="6"/>
  <c r="Q31" i="6"/>
  <c r="P23" i="6"/>
  <c r="Q23" i="6"/>
  <c r="P33" i="6"/>
  <c r="Q33" i="6"/>
  <c r="P7" i="6"/>
  <c r="Q7" i="6"/>
  <c r="P6" i="6"/>
  <c r="Q6" i="6"/>
  <c r="P32" i="6"/>
  <c r="Q32" i="6"/>
  <c r="P28" i="6"/>
  <c r="Q28" i="6"/>
  <c r="P25" i="6"/>
  <c r="Q25" i="6"/>
  <c r="P40" i="6"/>
  <c r="Q40" i="6"/>
  <c r="Q17" i="6"/>
  <c r="P19" i="6"/>
  <c r="Q19" i="6"/>
  <c r="P27" i="6"/>
  <c r="Q27" i="6"/>
  <c r="P4" i="6"/>
  <c r="Q4" i="6"/>
  <c r="P24" i="6"/>
  <c r="Q24" i="6"/>
  <c r="P39" i="6"/>
  <c r="Q39" i="6"/>
  <c r="P14" i="6"/>
  <c r="Q14" i="6"/>
  <c r="P37" i="6"/>
  <c r="Q37" i="6"/>
  <c r="P34" i="6"/>
  <c r="Q34" i="6"/>
  <c r="P2" i="6"/>
  <c r="Q2" i="6"/>
  <c r="P36" i="6"/>
  <c r="Q36" i="6"/>
  <c r="P3" i="6"/>
  <c r="Q3" i="6"/>
  <c r="P41" i="6"/>
  <c r="Q41" i="6"/>
  <c r="P18" i="6"/>
  <c r="Q18" i="6"/>
  <c r="P35" i="6"/>
  <c r="Q35" i="6"/>
  <c r="P12" i="6"/>
  <c r="Q12" i="6"/>
  <c r="L6" i="8"/>
  <c r="P22" i="6"/>
  <c r="Q22" i="6"/>
  <c r="P29" i="6"/>
  <c r="Q29" i="6"/>
  <c r="P26" i="6"/>
  <c r="Q26" i="6"/>
  <c r="P43" i="6"/>
  <c r="Q43" i="6"/>
  <c r="P20" i="6"/>
  <c r="Q20" i="6"/>
  <c r="P15" i="6"/>
  <c r="Q15" i="6"/>
  <c r="P16" i="6"/>
  <c r="Q16" i="6"/>
  <c r="P21" i="6"/>
  <c r="Q21" i="6"/>
  <c r="P38" i="6"/>
  <c r="Q38" i="6"/>
  <c r="P8" i="6"/>
  <c r="Q8" i="6"/>
  <c r="P30" i="6"/>
  <c r="Q30" i="6"/>
  <c r="W6" i="6"/>
  <c r="AA2" i="7" a="1"/>
  <c r="AA2" i="7" s="1"/>
  <c r="AA3" i="7" s="1"/>
  <c r="X6" i="6"/>
  <c r="X7" i="6" s="1"/>
  <c r="X31" i="7"/>
  <c r="U2" i="7"/>
  <c r="T2" i="7"/>
  <c r="U3" i="7"/>
  <c r="T5" i="7"/>
  <c r="U4" i="7"/>
  <c r="AB2" i="7" a="1"/>
  <c r="AB2" i="7" s="1"/>
  <c r="AB3" i="7" s="1"/>
  <c r="T6" i="7"/>
  <c r="T3" i="7"/>
  <c r="T4" i="7"/>
  <c r="AC2" i="7" a="1"/>
  <c r="AC2" i="7" s="1"/>
  <c r="AC3" i="7" s="1"/>
  <c r="E6" i="8"/>
  <c r="P17" i="6"/>
  <c r="V6" i="6"/>
  <c r="AC4" i="6"/>
  <c r="AI3" i="5"/>
  <c r="AJ3" i="5" s="1"/>
  <c r="AI4" i="5"/>
  <c r="AJ4" i="5" s="1"/>
  <c r="AI5" i="5"/>
  <c r="AJ5" i="5" s="1"/>
  <c r="AI6" i="5"/>
  <c r="AJ6" i="5" s="1"/>
  <c r="AI7" i="5"/>
  <c r="AJ7" i="5" s="1"/>
  <c r="AI8" i="5"/>
  <c r="AJ8" i="5" s="1"/>
  <c r="AI9" i="5"/>
  <c r="AJ9" i="5" s="1"/>
  <c r="AI10" i="5"/>
  <c r="AJ10" i="5" s="1"/>
  <c r="AI11" i="5"/>
  <c r="AJ11" i="5" s="1"/>
  <c r="AI12" i="5"/>
  <c r="AJ12" i="5" s="1"/>
  <c r="AI13" i="5"/>
  <c r="AJ13" i="5" s="1"/>
  <c r="AI14" i="5"/>
  <c r="AJ14" i="5" s="1"/>
  <c r="AI15" i="5"/>
  <c r="AJ15" i="5" s="1"/>
  <c r="AI16" i="5"/>
  <c r="AJ16" i="5" s="1"/>
  <c r="AI17" i="5"/>
  <c r="AJ17" i="5" s="1"/>
  <c r="AI18" i="5"/>
  <c r="AJ18" i="5" s="1"/>
  <c r="AI2" i="5"/>
  <c r="AJ2" i="5" s="1"/>
  <c r="Z3" i="5"/>
  <c r="Z4" i="5"/>
  <c r="Y3" i="5"/>
  <c r="Y4" i="5"/>
  <c r="Y2" i="5"/>
  <c r="Z2" i="5"/>
  <c r="X3" i="5"/>
  <c r="X4" i="5"/>
  <c r="X2" i="5"/>
  <c r="Q4" i="5"/>
  <c r="R4" i="5" s="1"/>
  <c r="Q3" i="5"/>
  <c r="Q2" i="5"/>
  <c r="R2" i="5" s="1"/>
  <c r="K12" i="5"/>
  <c r="J12" i="5"/>
  <c r="D3" i="5"/>
  <c r="D4" i="5"/>
  <c r="D2" i="5"/>
  <c r="C3" i="5"/>
  <c r="C4" i="5"/>
  <c r="C2" i="5"/>
  <c r="B3" i="5"/>
  <c r="B4" i="5"/>
  <c r="B5" i="5" s="1"/>
  <c r="W7" i="7" l="1"/>
  <c r="C5" i="5"/>
  <c r="Q5" i="5"/>
  <c r="D5" i="5"/>
  <c r="E5" i="5" s="1"/>
  <c r="W7" i="6"/>
  <c r="U7" i="7"/>
  <c r="T7" i="7"/>
  <c r="AM4" i="5"/>
  <c r="AM5" i="5"/>
  <c r="AM6" i="5"/>
  <c r="AN3" i="5"/>
  <c r="AN4" i="5"/>
  <c r="AN5" i="5"/>
  <c r="AM3" i="5"/>
  <c r="R3" i="5"/>
  <c r="R5" i="5" s="1"/>
  <c r="S5" i="5" s="1"/>
  <c r="V7" i="6"/>
  <c r="AE7" i="6"/>
  <c r="AJ7" i="6"/>
  <c r="AC7" i="6"/>
  <c r="AD7" i="6"/>
  <c r="AK7" i="6"/>
  <c r="AL7" i="6"/>
  <c r="Z5" i="5"/>
  <c r="Y5" i="5"/>
  <c r="X5" i="5"/>
  <c r="L12" i="5"/>
  <c r="X7" i="7" l="1"/>
  <c r="Y7" i="6"/>
  <c r="AM7" i="6"/>
  <c r="AF7" i="6"/>
  <c r="AA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t>[Threaded comment]
Your version of Excel allows you to read this threaded comment; however, any edits to it will get removed if the file is opened in a newer version of Excel. Learn more: https://go.microsoft.com/fwlink/?linkid=870924
Comment:
    .44</t>
      </text>
    </comment>
    <comment ref="AA2" authorId="1" shapeId="0" xr:uid="{3470D684-2D38-40DB-B07C-16F4DCD993B5}">
      <text>
        <t>[Threaded comment]
Your version of Excel allows you to read this threaded comment; however, any edits to it will get removed if the file is opened in a newer version of Excel. Learn more: https://go.microsoft.com/fwlink/?linkid=870924
Comment:
    .202
.209</t>
      </text>
    </comment>
    <comment ref="AE2" authorId="2" shapeId="0" xr:uid="{D2A6A6EC-60D0-4E9C-8A71-DFDC40D27D94}">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3" shapeId="0" xr:uid="{BED8DC7C-E9BE-4198-939B-2853AEBFEF92}">
      <text>
        <t>[Threaded comment]
Your version of Excel allows you to read this threaded comment; however, any edits to it will get removed if the file is opened in a newer version of Excel. Learn more: https://go.microsoft.com/fwlink/?linkid=870924
Comment:
    .52?
.196</t>
      </text>
    </comment>
    <comment ref="AA3" authorId="4" shapeId="0" xr:uid="{CA92E017-EE11-4A4B-8C3D-71DA7E01AB86}">
      <text>
        <t>[Threaded comment]
Your version of Excel allows you to read this threaded comment; however, any edits to it will get removed if the file is opened in a newer version of Excel. Learn more: https://go.microsoft.com/fwlink/?linkid=870924
Comment:
    .127</t>
      </text>
    </comment>
    <comment ref="AB4" authorId="5" shapeId="0" xr:uid="{0DFDBF7D-4576-4D40-BB3C-6D3AD471F9AF}">
      <text>
        <t>[Threaded comment]
Your version of Excel allows you to read this threaded comment; however, any edits to it will get removed if the file is opened in a newer version of Excel. Learn more: https://go.microsoft.com/fwlink/?linkid=870924
Comment:
    .381</t>
      </text>
    </comment>
    <comment ref="AD4" authorId="6" shapeId="0" xr:uid="{7246E727-8C90-4EAB-8B2C-099DB8C51FAC}">
      <text>
        <t>[Threaded comment]
Your version of Excel allows you to read this threaded comment; however, any edits to it will get removed if the file is opened in a newer version of Excel. Learn more: https://go.microsoft.com/fwlink/?linkid=870924
Comment:
    .381</t>
      </text>
    </comment>
    <comment ref="AE4" authorId="7" shapeId="0" xr:uid="{43D1B7D6-50A8-4C63-A17C-93FC8E001EFE}">
      <text>
        <t>[Threaded comment]
Your version of Excel allows you to read this threaded comment; however, any edits to it will get removed if the file is opened in a newer version of Excel. Learn more: https://go.microsoft.com/fwlink/?linkid=870924
Comment:
    .24
.69
.293</t>
      </text>
    </comment>
    <comment ref="AF4" authorId="8" shapeId="0" xr:uid="{2C0CC7B4-D3E1-4587-ACF2-82A89FD98B3B}">
      <text>
        <t>[Threaded comment]
Your version of Excel allows you to read this threaded comment; however, any edits to it will get removed if the file is opened in a newer version of Excel. Learn more: https://go.microsoft.com/fwlink/?linkid=870924
Comment:
    .381</t>
      </text>
    </comment>
    <comment ref="Y6" authorId="9" shapeId="0" xr:uid="{8FD64839-F6B1-4B4C-BC26-2DC157854487}">
      <text>
        <t>[Threaded comment]
Your version of Excel allows you to read this threaded comment; however, any edits to it will get removed if the file is opened in a newer version of Excel. Learn more: https://go.microsoft.com/fwlink/?linkid=870924
Comment:
    .122
.412
v
.351</t>
      </text>
    </comment>
    <comment ref="AA6" authorId="10" shapeId="0" xr:uid="{398420A9-B0D4-4B87-8B9A-2ADBE40B5A2E}">
      <text>
        <t>[Threaded comment]
Your version of Excel allows you to read this threaded comment; however, any edits to it will get removed if the file is opened in a newer version of Excel. Learn more: https://go.microsoft.com/fwlink/?linkid=870924
Comment:
    .38?</t>
      </text>
    </comment>
    <comment ref="AF6" authorId="11" shapeId="0" xr:uid="{091CE245-E7C0-4CC5-B8EA-602088FFDB39}">
      <text>
        <t>[Threaded comment]
Your version of Excel allows you to read this threaded comment; however, any edits to it will get removed if the file is opened in a newer version of Excel. Learn more: https://go.microsoft.com/fwlink/?linkid=870924
Comment:
    .27
.39</t>
      </text>
    </comment>
    <comment ref="Q11" authorId="12" shapeId="0" xr:uid="{5F622325-1668-4B0C-88F4-BD23C0FDC861}">
      <text>
        <t>[Threaded comment]
Your version of Excel allows you to read this threaded comment; however, any edits to it will get removed if the file is opened in a newer version of Excel. Learn more: https://go.microsoft.com/fwlink/?linkid=870924
Comment:
    Check</t>
      </text>
    </comment>
    <comment ref="D14" authorId="13" shapeId="0" xr:uid="{5A6B5AF9-3BD9-4DF5-B7AC-6A79DE8B3E4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text>
    </comment>
    <comment ref="E14" authorId="14" shapeId="0" xr:uid="{939F768B-E1DD-4BED-AE20-BFCC197C0BDC}">
      <text>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text>
    </comment>
    <comment ref="Q14" authorId="15" shapeId="0" xr:uid="{C75399C7-5221-4001-A692-F2C4C8BD08A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E18" authorId="16" shapeId="0" xr:uid="{A6C82DAB-099D-4B0B-901F-EF9DD10C100C}">
      <text>
        <t>[Threaded comment]
Your version of Excel allows you to read this threaded comment; however, any edits to it will get removed if the file is opened in a newer version of Excel. Learn more: https://go.microsoft.com/fwlink/?linkid=870924
Comment:
    Das Verfahren wird ausgesetzt.</t>
      </text>
    </comment>
    <comment ref="D26" authorId="17" shapeId="0" xr:uid="{27E305CC-31F0-421D-BA62-F30A77D37B6F}">
      <text>
        <t>[Threaded comment]
Your version of Excel allows you to read this threaded comment; however, any edits to it will get removed if the file is opened in a newer version of Excel. Learn more: https://go.microsoft.com/fwlink/?linkid=870924
Comment:
    _Kather</t>
      </text>
    </comment>
    <comment ref="E26" authorId="18" shapeId="0" xr:uid="{1374D6B2-0C32-4FDA-AF13-C5F14B6649F7}">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7" authorId="19" shapeId="0" xr:uid="{C98E37CD-7F9C-4249-86DA-2C0D3FAAEB3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N30" authorId="20" shapeId="0" xr:uid="{BE0D622D-1F5A-44BB-9DEA-13F3D62F6F74}">
      <text>
        <t>[Threaded comment]
Your version of Excel allows you to read this threaded comment; however, any edits to it will get removed if the file is opened in a newer version of Excel. Learn more: https://go.microsoft.com/fwlink/?linkid=870924
Comment:
    25.02.2021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text>
    </comment>
    <comment ref="E5" authorId="1" shapeId="0" xr:uid="{1ED44B2E-FD6D-4A72-BEB6-E7902ECAF376}">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8" authorId="2" shapeId="0" xr:uid="{8D8ED45E-6D84-4793-A13F-E2A21A9C9710}">
      <text>
        <t xml:space="preserve">[Threaded comment]
Your version of Excel allows you to read this threaded comment; however, any edits to it will get removed if the file is opened in a newer version of Excel. Learn more: https://go.microsoft.com/fwlink/?linkid=870924
Comment:
    7 O 14091/19 </t>
      </text>
    </comment>
    <comment ref="C8" authorId="3" shapeId="0" xr:uid="{6AC1AE1D-6FB4-4FB2-B08A-79BDBAC4B86F}">
      <text>
        <t>[Threaded comment]
Your version of Excel allows you to read this threaded comment; however, any edits to it will get removed if the file is opened in a newer version of Excel. Learn more: https://go.microsoft.com/fwlink/?linkid=870924
Comment:
    Depends on the Aktenzeichen</t>
      </text>
    </comment>
    <comment ref="N11" authorId="4" shapeId="0" xr:uid="{33D81D4B-BF2F-42B0-8899-8BFFB95F3302}">
      <text>
        <t>[Threaded comment]
Your version of Excel allows you to read this threaded comment; however, any edits to it will get removed if the file is opened in a newer version of Excel. Learn more: https://go.microsoft.com/fwlink/?linkid=870924
Comment:
    02.10.2019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t>[Threaded comment]
Your version of Excel allows you to read this threaded comment; however, any edits to it will get removed if the file is opened in a newer version of Excel. Learn more: https://go.microsoft.com/fwlink/?linkid=870924
Comment:
    check</t>
      </text>
    </comment>
    <comment ref="E5" authorId="1" shapeId="0" xr:uid="{9F6C47E2-E6B4-4CD2-AFB0-C63422A386DC}">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D6" authorId="2" shapeId="0" xr:uid="{47A770AA-8A55-4446-A705-89458ADA4EFE}">
      <text>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text>
    </comment>
    <comment ref="C7" authorId="3" shapeId="0" xr:uid="{A210A82E-DC9B-474D-B083-F82C460F76EE}">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C8" authorId="4" shapeId="0" xr:uid="{21C769A6-824B-4E79-8BAE-DF44EF4028B0}">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tc={F0540B8A-E4E2-4783-AB3B-FDC1AC4E12C0}</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tc={94390C78-891B-4C95-81E6-C4BC83535A9C}</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tc={812F0DB0-E05C-4307-820F-B4B476F4D206}</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tc={8F109CA9-A73F-4D44-9853-7DF42497C09B}</author>
    <author>tc={458CCA5A-8A40-4514-B23F-802C0D07DF7C}</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tc={BD4BF902-3B15-4F98-B336-684F10E9EEF8}</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tc={02285F79-8C4E-462D-B109-48FD2897F386}</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tc={AC2B570A-15AB-43B5-AD1D-554728708421}</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tc={B1F16176-EEE7-44ED-BA26-8EC581D8F9C3}</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tc={4980AA7A-AFBA-466B-B56B-CEF1FBF31C03}</author>
    <author>tc={3F009848-342E-43D1-B7AC-4EA920CDE45C}</author>
    <author>tc={E1CCDFAA-33C1-4582-82D9-8A69C00030F5}</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tc={398DB35F-FB63-4C5F-8E37-463981410CAA}</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tc={61E83C3E-6605-46D7-8ECC-B7D26659021B}</author>
    <author>tc={318E850A-2CD0-422A-A8AD-23F22B3964E7}</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tc={204744DE-122F-460C-BC9C-869CF9463F66}</author>
    <author>tc={19B0FC52-4C97-4501-B079-DB13F1255AA6}</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tc={8FD64248-DCB3-4BDA-833E-B693415E727E}</author>
    <author>tc={AFFC4ED9-F850-49A7-BF3B-0FA9019461FB}</author>
    <author>tc={056420F8-0F73-4671-90DD-C0A9466FC70A}</author>
    <author>tc={500B0444-6357-4A8E-B404-BE0E5759F1BA}</author>
    <author>tc={16206882-9058-462A-9286-F3D146ABBB98}</author>
    <author>tc={BD9E6925-7137-43CB-A15C-5B22E1DBC353}</author>
    <author>tc={0084B767-6D12-4D47-AC9D-3F7DD83562B5}</author>
    <author>tc={0D18337C-0FFA-464F-B30B-E3260AA6B2CB}</author>
    <author>tc={E9CA1FDF-8E5D-40ED-AED0-6F4305073905}</author>
    <author>tc={AAA54E2F-A932-418E-9B92-8982AECBE12F}</author>
    <author>tc={979429CB-32CD-476B-88C3-73579DB49340}</author>
    <author>tc={C9662E87-C039-4892-B7A1-2859C8C40AF8}</author>
    <author>tc={7FF25ACD-A27B-47C6-952D-3980AA430214}</author>
    <author>tc={A581C339-6362-4FCE-82E7-B32D87DF082A}</author>
    <author>tc={A8E7AD45-6AA7-4984-B9CA-3E5965C483DE}</author>
    <author>tc={B4B34F8F-2CDB-45F7-BD8F-02D87C60FD00}</author>
    <author>tc={E766B142-2AB6-4012-A9FF-F6EEA753AF16}</author>
    <author>tc={6DB0AABA-7550-408A-99E6-E5322A88B66C}</author>
    <author>tc={ACFEB4D1-F148-4F9C-8B60-7B1E5C9BFB9C}</author>
    <author>tc={C2541FC7-0F22-483E-8AD9-B3F8EE01E0B7}</author>
    <author>tc={9397DA02-1AC6-4D80-A6C7-766CBAB89214}</author>
    <author>tc={877167BD-7CAC-41EF-BB89-69DB66A58323}</author>
    <author>tc={E23B6A74-E6BD-4001-8F60-187DBC3541E6}</author>
    <author>tc={8581FFEA-FDE5-488C-8EC6-E165493C91B8}</author>
    <author>tc={2DB563DE-5EBF-468E-8F2B-DACE4EF34415}</author>
    <author>tc={F19DDAA2-F68E-4E96-A256-0B286B89A4C1}</author>
    <author>tc={A69AE4A1-8D75-4949-A118-7AD497CC5C91}</author>
    <author>tc={08E9E524-0671-41BA-A32E-9C5A81270E17}</author>
    <author>tc={92C5D694-A3EB-4B91-AA09-6BAC4515540E}</author>
    <author>tc={75219E69-C385-4D12-BA9B-16893FFDDE2B}</author>
    <author>tc={6972D247-600A-40C0-8737-03AB375E7B7B}</author>
    <author>tc={437A1A92-38E7-4342-9366-8B2B575626D5}</author>
    <author>tc={0C0AFF04-7244-41B6-80CC-9DF7B7FEBA2C}</author>
    <author>tc={1DC3EFA3-7094-4225-B29C-DE5C1CF004CF}</author>
    <author>tc={CBC9E5F6-4610-4832-9AF5-2F1B3DE16937}</author>
    <author>tc={DB35E198-40AE-431D-B6E8-AF5113E67E10}</author>
    <author>tc={1C9D4FA8-D5BD-4C90-94C5-909565ACAA56}</author>
    <author>tc={BEB14303-BCE4-4B41-95FD-7496B98A4645}</author>
    <author>tc={7DAF97B0-4092-4A36-8165-AC13B039CEBB}</author>
    <author>tc={63CC0C4E-8748-4E92-B088-5B26C1920853}</author>
    <author>tc={BC5C6EC1-9F5D-46BE-B23B-58F726995896}</author>
    <author>tc={7019CFC9-E6B4-45EE-8823-67B69E3C31B7}</author>
    <author>tc={B16CBB56-9A44-44B8-A9F9-2A1AF47C0AB3}</author>
    <author>tc={BF02811B-B8B9-4F5F-8F82-4625DD156433}</author>
    <author>tc={F2A8F871-1FF8-4FE7-8E7D-E4566BF8D3ED}</author>
    <author>tc={08678D9E-B56F-45CB-816F-F0CE907B80DB}</author>
    <author>tc={B27D5B05-884A-425B-B2D8-DBB496F6FF65}</author>
    <author>tc={B466C1B6-420E-43CD-A903-715CFED0B505}</author>
    <author>tc={A52E4642-6F92-4FDF-B713-D302DD51685D}</author>
    <author>tc={37899348-D9BC-411F-891A-F0A5B1B40C14}</author>
    <author>tc={F8446CDB-710B-4AF1-BF54-4916C2B9DCA7}</author>
    <author>tc={04B44218-2295-4D08-8EAD-214D27630DFB}</author>
    <author>tc={81BA32FF-08AF-46DA-9724-E7573ED245C4}</author>
    <author>tc={68322D8E-74BE-4B99-8122-C50EC680694E}</author>
    <author>tc={68F1E1F8-B1BE-4E30-9F9C-5DF5D229F2C8}</author>
    <author>tc={2A0A09D6-74E4-4B75-9468-8D6CFC5AA9DB}</author>
    <author>tc={753E906D-DA6A-4715-BE87-B48D0658B120}</author>
    <author>tc={ECE222F2-FEA0-4D09-BB87-6353FAE3F855}</author>
    <author>tc={97FFB6EF-A401-4E81-BF9B-16DF9C5CF5DB}</author>
    <author>tc={C80100D7-74F4-46F1-8CD7-F5BE556F0AAD}</author>
    <author>tc={97615FE6-6644-4A44-889E-E5734C339E89}</author>
    <author>tc={596AA57F-A0D1-453C-826B-B210F61BB233}</author>
    <author>tc={07935794-0C72-4175-B385-6F99CFA3C573}</author>
    <author>tc={E9D4C900-9CD9-47DD-8602-4BD62D3FE493}</author>
    <author>tc={31C5E17B-C3EF-4E97-8F5D-E39FA746E084}</author>
    <author>tc={B115F07B-1A0A-4A56-B3EE-14BB59A9FDEA}</author>
    <author>tc={429854C5-7B0C-4B4B-A71B-14B4050D0F0B}</author>
    <author>tc={43666DED-7531-43D4-8AC6-6CF8906CB373}</author>
    <author>tc={2BE178FA-B8AF-46D3-A634-779DD04F17B8}</author>
    <author>tc={F805A726-D6B7-4204-B780-CDE6696E6BB0}</author>
    <author>tc={6548FB9E-BDDE-446B-9DD5-C2081CA60D68}</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tc={70AE830D-9037-4E5A-9CBD-A0BF45D5A1A8}</author>
    <author>tc={E7462449-A2B1-43B4-A6C1-F01CFE2E8B45}</author>
    <author>tc={332B5C43-FCA3-4AF6-9803-E77C75835B63}</author>
    <author>tc={7C793561-349D-48EB-99BC-876ABD0CFAAA}</author>
    <author>tc={E10BCF7F-90BE-4B32-839D-92C18BA57CDE}</author>
    <author>tc={33FD4864-4026-44AB-800D-0A7060724B91}</author>
    <author>tc={B7101FB9-380A-40BD-B9B9-C3819D1BC23D}</author>
    <author>tc={72496DA0-D770-48F7-B134-3A2D20F18DF8}</author>
    <author>tc={8F601B0D-AD37-4508-9DD2-ACAE8C2E95DC}</author>
    <author>tc={FA452729-21F2-4D3F-9C9C-AC8D8066EC54}</author>
    <author>tc={79FE8500-6511-4BC3-B801-8D72D0A0619B}</author>
    <author>tc={CB444B42-B704-41CC-B358-3C2998F1B36D}</author>
    <author>tc={CD7BD07C-5F8C-4AD2-93C8-4A7F40C84374}</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tc={8C2034B7-AD78-48EE-9321-8DC291F96A6F}</author>
    <author>tc={C95E86EF-7415-4AB0-8E64-E742A29AF738}</author>
    <author>tc={761A5474-9529-4236-8FCE-08CECFEA3CB2}</author>
    <author>tc={604B89DE-D753-46CA-B15A-EFBB343C1CA8}</author>
    <author>tc={4E83A58E-4D09-43D6-85CD-85E9F612A6BF}</author>
    <author>tc={C5F91382-A51D-48B9-88F4-AA5F43346683}</author>
    <author>tc={50F8D0FE-530F-4418-8D6E-42E6CA49A793}</author>
    <author>tc={0C85D065-B681-4CB4-9BD0-4663A42F9A51}</author>
    <author>tc={05DC0EA7-B36D-45E0-9648-332CDB72B5AB}</author>
    <author>tc={93FB65F1-A8AE-425C-A319-A07985C516A0}</author>
    <author>tc={5C3C4CB6-8457-4DD2-AAC6-3CCDF6053A4F}</author>
    <author>tc={F8457BBB-0BAE-41FA-BA0A-A9848E7C8FE2}</author>
    <author>tc={7C342666-B26B-403C-9977-CBBED95EBDF2}</author>
    <author>tc={705FF9C5-01E1-4547-8F24-431292BB224A}</author>
    <author>tc={5F39CE75-7B02-4C59-8B87-A6FA5F129528}</author>
    <author>tc={E9EA7940-9E67-4AD4-906F-2218E7397FCF}</author>
    <author>tc={BFD397D0-4817-4B00-B656-9A5B7DDA32ED}</author>
    <author>tc={6C548694-67E3-4F4B-9AA6-A57D5BAC8D30}</author>
    <author>tc={2C8AF8BB-BA7A-444C-970D-4D7DF9C9C981}</author>
    <author>tc={FA804282-A67F-457E-A06E-528A15AFD57E}</author>
    <author>tc={B48BDD31-2C43-4771-9906-B5F0B06605A4}</author>
    <author>tc={E0E7265F-6E13-4C37-8E24-DAD5F48A85B3}</author>
    <author>tc={3FEB7CB6-AA8F-4B82-BEE2-24326B9857F2}</author>
    <author>tc={078D766E-7C00-4E05-A9B9-E507CFF463E9}</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tc={12DF9E45-A378-45FB-938C-8110365ADDEB}</author>
    <author>tc={61FC6129-3ABA-4FD5-B632-C5F82DE3A30C}</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tc={3E07184D-52FF-435F-BCB2-5DF5F2174D65}</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tc={77A30FBC-0A3B-4BBA-A6DD-ECF5136311FB}</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tc={384B7DEF-4C89-426B-8C29-FE5C8C48F961}</author>
    <author>tc={717EAF44-80B1-48EB-AE36-32E62C95E609}</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tc={794B8060-3F8A-4B2B-8C51-F2AF0634A0BE}</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tc={DA19761D-8780-4954-91DE-B545AC858EB9}</author>
    <author>tc={4BE678D7-7B62-4577-BA39-F789DD56FCB4}</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tc={C6960B14-9A6D-465A-8F43-D9050A6D30B9}</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tc={52BA4B67-2E77-4AF9-BC74-BBBFC8763A3B}</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tc={C37F0342-CF31-4E5E-A91D-708A69520CFF}</author>
    <author>tc={B6E4F74B-ED10-41E8-8DE1-5D82805F2291}</author>
    <author>tc={42DD2DB2-5146-4EE6-B0B0-26E68A56FE1E}</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tc={9E67DBA7-42CD-4711-9FE9-1B2B79B6B0EC}</author>
    <author>tc={68E651B4-0E5B-4A80-8AD8-988ED267462B}</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tc={FB5A5662-B8B6-462D-A857-8C4530C0B236}</author>
    <author>tc={3D88C699-8DB7-4C56-ADC8-E017155A10BE}</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tc={0400429E-9722-4427-B969-B47943577E5B}</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tc={EA98DEB3-31EC-49A4-9C04-0C9FE01600B4}</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s>
  <commentList>
    <comment ref="S2" authorId="0" shapeId="0" xr:uid="{3811A881-8CF3-4CEE-AD1F-C478655CCAF6}">
      <text>
        <t>[Threaded comment]
Your version of Excel allows you to read this threaded comment; however, any edits to it will get removed if the file is opened in a newer version of Excel. Learn more: https://go.microsoft.com/fwlink/?linkid=870924
Comment:
    .44</t>
      </text>
    </comment>
    <comment ref="W2" authorId="1" shapeId="0" xr:uid="{760D0934-BF9D-4C69-AF37-1550B8C132F6}">
      <text>
        <t>[Threaded comment]
Your version of Excel allows you to read this threaded comment; however, any edits to it will get removed if the file is opened in a newer version of Excel. Learn more: https://go.microsoft.com/fwlink/?linkid=870924
Comment:
    .44</t>
      </text>
    </comment>
    <comment ref="Y2" authorId="2" shapeId="0" xr:uid="{09ABC5ED-676B-421E-8C70-24D2B651E89A}">
      <text>
        <t>[Threaded comment]
Your version of Excel allows you to read this threaded comment; however, any edits to it will get removed if the file is opened in a newer version of Excel. Learn more: https://go.microsoft.com/fwlink/?linkid=870924
Comment:
    .178</t>
      </text>
    </comment>
    <comment ref="Z2" authorId="3" shapeId="0" xr:uid="{3FC0B788-4BA4-41E5-9503-44B804CF0B82}">
      <text>
        <t>[Threaded comment]
Your version of Excel allows you to read this threaded comment; however, any edits to it will get removed if the file is opened in a newer version of Excel. Learn more: https://go.microsoft.com/fwlink/?linkid=870924
Comment:
    .178
.235</t>
      </text>
    </comment>
    <comment ref="AA2" authorId="4" shapeId="0" xr:uid="{F5A0BE9F-4E30-4E8E-A595-3BDD3582257D}">
      <text>
        <t>[Threaded comment]
Your version of Excel allows you to read this threaded comment; however, any edits to it will get removed if the file is opened in a newer version of Excel. Learn more: https://go.microsoft.com/fwlink/?linkid=870924
Comment:
    .192</t>
      </text>
    </comment>
    <comment ref="AB2" authorId="5" shapeId="0" xr:uid="{54BDBA3F-0F0E-4E2C-AF7F-51E919A64ED0}">
      <text>
        <t>[Threaded comment]
Your version of Excel allows you to read this threaded comment; however, any edits to it will get removed if the file is opened in a newer version of Excel. Learn more: https://go.microsoft.com/fwlink/?linkid=870924
Comment:
    .202
.204
.209-.211
.236</t>
      </text>
    </comment>
    <comment ref="AF2" authorId="6" shapeId="0" xr:uid="{5C6604AF-E5AE-43FE-9331-6C0D6681ACC3}">
      <text>
        <t>[Threaded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Reply:
    Used to be Yes?</t>
      </text>
    </comment>
    <comment ref="AG2" authorId="7" shapeId="0" xr:uid="{C6B75D7A-40EF-4581-970A-2428EA435849}">
      <text>
        <t>[Threaded comment]
Your version of Excel allows you to read this threaded comment; however, any edits to it will get removed if the file is opened in a newer version of Excel. Learn more: https://go.microsoft.com/fwlink/?linkid=870924
Comment:
    .52
.196
v (no)
.45</t>
      </text>
    </comment>
    <comment ref="S3" authorId="8" shapeId="0" xr:uid="{892B7398-9B6C-4A75-9187-8D2A19EC883E}">
      <text>
        <t>[Threaded comment]
Your version of Excel allows you to read this threaded comment; however, any edits to it will get removed if the file is opened in a newer version of Excel. Learn more: https://go.microsoft.com/fwlink/?linkid=870924
Comment:
    .20</t>
      </text>
    </comment>
    <comment ref="U3" authorId="9" shapeId="0" xr:uid="{F7ECCF8D-F121-43B0-AFFC-4E1B8740309B}">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W3" authorId="10" shapeId="0" xr:uid="{3B01E2B0-4600-42D9-8A42-09387AE94935}">
      <text>
        <t>[Threaded comment]
Your version of Excel allows you to read this threaded comment; however, any edits to it will get removed if the file is opened in a newer version of Excel. Learn more: https://go.microsoft.com/fwlink/?linkid=870924
Comment:
    .20</t>
      </text>
    </comment>
    <comment ref="Y3" authorId="11" shapeId="0" xr:uid="{05C730CB-E528-4FBE-910E-7CEAC7287E64}">
      <text>
        <t>[Threaded comment]
Your version of Excel allows you to read this threaded comment; however, any edits to it will get removed if the file is opened in a newer version of Excel. Learn more: https://go.microsoft.com/fwlink/?linkid=870924
Comment:
    .206</t>
      </text>
    </comment>
    <comment ref="Z3" authorId="12" shapeId="0" xr:uid="{D4B076FD-B996-455E-949F-5B061DCFF774}">
      <text>
        <t>[Threaded comment]
Your version of Excel allows you to read this threaded comment; however, any edits to it will get removed if the file is opened in a newer version of Excel. Learn more: https://go.microsoft.com/fwlink/?linkid=870924
Comment:
    .206
.208
.214
.232
.245</t>
      </text>
    </comment>
    <comment ref="AA3" authorId="13" shapeId="0" xr:uid="{EB0E70F6-30E2-43B2-943A-1B1E29B77F85}">
      <text>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text>
    </comment>
    <comment ref="AB3" authorId="14" shapeId="0" xr:uid="{C76B113D-2116-4F6D-B482-2F9484C43605}">
      <text>
        <t>[Threaded comment]
Your version of Excel allows you to read this threaded comment; however, any edits to it will get removed if the file is opened in a newer version of Excel. Learn more: https://go.microsoft.com/fwlink/?linkid=870924
Comment:
    .249
.318</t>
      </text>
    </comment>
    <comment ref="AC3" authorId="15" shapeId="0" xr:uid="{69EE2237-2F26-4DB5-B64E-FBACC48C9B2A}">
      <text>
        <t>[Threaded comment]
Your version of Excel allows you to read this threaded comment; however, any edits to it will get removed if the file is opened in a newer version of Excel. Learn more: https://go.microsoft.com/fwlink/?linkid=870924
Comment:
    .262
.349</t>
      </text>
    </comment>
    <comment ref="AD3" authorId="16" shapeId="0" xr:uid="{BCB95FAD-D1B2-4DB6-ABAB-12A6049381EF}">
      <text>
        <t>[Threaded comment]
Your version of Excel allows you to read this threaded comment; however, any edits to it will get removed if the file is opened in a newer version of Excel. Learn more: https://go.microsoft.com/fwlink/?linkid=870924
Comment:
    .222
.264</t>
      </text>
    </comment>
    <comment ref="AE3" authorId="17" shapeId="0" xr:uid="{D80FC576-C009-4925-9C49-782EEB13233F}">
      <text>
        <t>[Threaded comment]
Your version of Excel allows you to read this threaded comment; however, any edits to it will get removed if the file is opened in a newer version of Excel. Learn more: https://go.microsoft.com/fwlink/?linkid=870924
Comment:
    .272</t>
      </text>
    </comment>
    <comment ref="AF3" authorId="18" shapeId="0" xr:uid="{F26FABA7-BF63-4365-B691-F2D482124B24}">
      <text>
        <t>[Threaded comment]
Your version of Excel allows you to read this threaded comment; however, any edits to it will get removed if the file is opened in a newer version of Excel. Learn more: https://go.microsoft.com/fwlink/?linkid=870924
Comment:
    .24
.69
.293
Reply:
    Used to be Yes?</t>
      </text>
    </comment>
    <comment ref="AG3" authorId="19" shapeId="0" xr:uid="{25FEC53B-1F02-480D-8A02-F205E5231F1C}">
      <text>
        <t>[Threaded comment]
Your version of Excel allows you to read this threaded comment; however, any edits to it will get removed if the file is opened in a newer version of Excel. Learn more: https://go.microsoft.com/fwlink/?linkid=870924
Comment:
    .19
.40</t>
      </text>
    </comment>
    <comment ref="AS3" authorId="20" shapeId="0" xr:uid="{F0540B8A-E4E2-4783-AB3B-FDC1AC4E12C0}">
      <text>
        <t>[Threaded comment]
Your version of Excel allows you to read this threaded comment; however, any edits to it will get removed if the file is opened in a newer version of Excel. Learn more: https://go.microsoft.com/fwlink/?linkid=870924
Comment:
    Darts</t>
      </text>
    </comment>
    <comment ref="S4" authorId="21" shapeId="0" xr:uid="{C7A34E9B-42D6-4223-A2EC-B83E648A12E1}">
      <text>
        <t>[Threaded comment]
Your version of Excel allows you to read this threaded comment; however, any edits to it will get removed if the file is opened in a newer version of Excel. Learn more: https://go.microsoft.com/fwlink/?linkid=870924
Comment:
    .21</t>
      </text>
    </comment>
    <comment ref="W4" authorId="22" shapeId="0" xr:uid="{0FDF7B4E-F80B-4D5D-9508-BCA76E1AF56D}">
      <text>
        <t>[Threaded comment]
Your version of Excel allows you to read this threaded comment; however, any edits to it will get removed if the file is opened in a newer version of Excel. Learn more: https://go.microsoft.com/fwlink/?linkid=870924
Comment:
    .21</t>
      </text>
    </comment>
    <comment ref="Y4" authorId="23" shapeId="0" xr:uid="{ACEA1250-EEE4-45B6-A7F1-E3EEA885D7B5}">
      <text>
        <t>[Threaded comment]
Your version of Excel allows you to read this threaded comment; however, any edits to it will get removed if the file is opened in a newer version of Excel. Learn more: https://go.microsoft.com/fwlink/?linkid=870924
Comment:
    .212</t>
      </text>
    </comment>
    <comment ref="Z4" authorId="24" shapeId="0" xr:uid="{DF4F750F-4B2B-4D46-A026-467AA325150E}">
      <text>
        <t>[Threaded comment]
Your version of Excel allows you to read this threaded comment; however, any edits to it will get removed if the file is opened in a newer version of Excel. Learn more: https://go.microsoft.com/fwlink/?linkid=870924
Comment:
    .214
.411</t>
      </text>
    </comment>
    <comment ref="AA4" authorId="25" shapeId="0" xr:uid="{F2865A39-B2F2-4BA3-8B7F-E47904718F88}">
      <text>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text>
    </comment>
    <comment ref="AB4" authorId="26" shapeId="0" xr:uid="{3B039CF9-F112-4241-9EB5-92FBBCE7E65D}">
      <text>
        <t>[Threaded comment]
Your version of Excel allows you to read this threaded comment; however, any edits to it will get removed if the file is opened in a newer version of Excel. Learn more: https://go.microsoft.com/fwlink/?linkid=870924
Comment:
    .255
.322
.324</t>
      </text>
    </comment>
    <comment ref="AC4" authorId="27" shapeId="0" xr:uid="{E444A568-6EE7-4F2F-B9C7-4B5CEB3C440C}">
      <text>
        <t>[Threaded comment]
Your version of Excel allows you to read this threaded comment; however, any edits to it will get removed if the file is opened in a newer version of Excel. Learn more: https://go.microsoft.com/fwlink/?linkid=870924
Comment:
    .268
.355</t>
      </text>
    </comment>
    <comment ref="AD4" authorId="28" shapeId="0" xr:uid="{EF6135B1-3B0B-4CE4-AE02-BA4C789FE242}">
      <text>
        <t>[Threaded comment]
Your version of Excel allows you to read this threaded comment; however, any edits to it will get removed if the file is opened in a newer version of Excel. Learn more: https://go.microsoft.com/fwlink/?linkid=870924
Comment:
    .228
.270</t>
      </text>
    </comment>
    <comment ref="AE4" authorId="29" shapeId="0" xr:uid="{4975D8EC-BB7B-4105-BCA0-009A957DF48B}">
      <text>
        <t>[Threaded comment]
Your version of Excel allows you to read this threaded comment; however, any edits to it will get removed if the file is opened in a newer version of Excel. Learn more: https://go.microsoft.com/fwlink/?linkid=870924
Comment:
    .278</t>
      </text>
    </comment>
    <comment ref="AF4" authorId="30" shapeId="0" xr:uid="{8DB86B3D-DD11-4949-910D-9E0128DC65BB}">
      <text>
        <t>[Threaded comment]
Your version of Excel allows you to read this threaded comment; however, any edits to it will get removed if the file is opened in a newer version of Excel. Learn more: https://go.microsoft.com/fwlink/?linkid=870924
Comment:
    .25
.284
.299-.306
.322
.411
Reply:
    Used to be Yes?</t>
      </text>
    </comment>
    <comment ref="AG4" authorId="31" shapeId="0" xr:uid="{CCD9029B-A84F-4461-9CC9-C4357A3F04C4}">
      <text>
        <t>[Threaded comment]
Your version of Excel allows you to read this threaded comment; however, any edits to it will get removed if the file is opened in a newer version of Excel. Learn more: https://go.microsoft.com/fwlink/?linkid=870924
Comment:
    .20
.41
.308-.310
.311-314</t>
      </text>
    </comment>
    <comment ref="AP4" authorId="32" shapeId="0" xr:uid="{94390C78-891B-4C95-81E6-C4BC83535A9C}">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S5" authorId="33" shapeId="0" xr:uid="{9B5DAED8-A47B-4E28-8D97-A5560CDC1A9E}">
      <text>
        <t>[Threaded comment]
Your version of Excel allows you to read this threaded comment; however, any edits to it will get removed if the file is opened in a newer version of Excel. Learn more: https://go.microsoft.com/fwlink/?linkid=870924
Comment:
    .24</t>
      </text>
    </comment>
    <comment ref="W5" authorId="34" shapeId="0" xr:uid="{296F93B9-99F2-4F61-BECE-7A0D761E461C}">
      <text>
        <t>[Threaded comment]
Your version of Excel allows you to read this threaded comment; however, any edits to it will get removed if the file is opened in a newer version of Excel. Learn more: https://go.microsoft.com/fwlink/?linkid=870924
Comment:
    .24</t>
      </text>
    </comment>
    <comment ref="Y5" authorId="35" shapeId="0" xr:uid="{470EA1B4-933D-4D82-ABF2-A135E493EB3D}">
      <text>
        <t>[Threaded comment]
Your version of Excel allows you to read this threaded comment; however, any edits to it will get removed if the file is opened in a newer version of Excel. Learn more: https://go.microsoft.com/fwlink/?linkid=870924
Comment:
    .341</t>
      </text>
    </comment>
    <comment ref="Z5" authorId="36" shapeId="0" xr:uid="{09131516-692C-4B01-8F50-614CC71997B1}">
      <text>
        <t>[Threaded comment]
Your version of Excel allows you to read this threaded comment; however, any edits to it will get removed if the file is opened in a newer version of Excel. Learn more: https://go.microsoft.com/fwlink/?linkid=870924
Comment:
    .412
.525-.526
v (no)
.351
Reply:
    Used to be Yes?</t>
      </text>
    </comment>
    <comment ref="AA5" authorId="37" shapeId="0" xr:uid="{7BEC2076-7775-45DA-8B7A-EDAF8A2A8F1D}">
      <text>
        <t>[Threaded comment]
Your version of Excel allows you to read this threaded comment; however, any edits to it will get removed if the file is opened in a newer version of Excel. Learn more: https://go.microsoft.com/fwlink/?linkid=870924
Comment:
    .24
.355</t>
      </text>
    </comment>
    <comment ref="AB5" authorId="38" shapeId="0" xr:uid="{E040E2EA-F314-47C3-A4D7-7285C84B659B}">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C5" authorId="39" shapeId="0" xr:uid="{FCA31237-0129-460F-95BE-17CD3E4FAE43}">
      <text>
        <t>[Threaded comment]
Your version of Excel allows you to read this threaded comment; however, any edits to it will get removed if the file is opened in a newer version of Excel. Learn more: https://go.microsoft.com/fwlink/?linkid=870924
Comment:
    .379
.380
.507</t>
      </text>
    </comment>
    <comment ref="AD5" authorId="40" shapeId="0" xr:uid="{3B6F62CD-8C36-4DB7-B988-00F5708CFFF8}">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E5" authorId="41" shapeId="0" xr:uid="{812F0DB0-E05C-4307-820F-B4B476F4D206}">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G5" authorId="42" shapeId="0" xr:uid="{5B875332-954D-443C-A26F-D7BB2CA73FC4}">
      <text>
        <t>[Threaded comment]
Your version of Excel allows you to read this threaded comment; however, any edits to it will get removed if the file is opened in a newer version of Excel. Learn more: https://go.microsoft.com/fwlink/?linkid=870924
Comment:
    .27
.39
.43</t>
      </text>
    </comment>
    <comment ref="S6" authorId="43" shapeId="0" xr:uid="{3291FD65-FB42-4CFE-83D1-F9B0F8B0E11F}">
      <text>
        <t>[Threaded comment]
Your version of Excel allows you to read this threaded comment; however, any edits to it will get removed if the file is opened in a newer version of Excel. Learn more: https://go.microsoft.com/fwlink/?linkid=870924
Comment:
    .24</t>
      </text>
    </comment>
    <comment ref="W6" authorId="44" shapeId="0" xr:uid="{03408F56-DCA7-474D-9890-A81344099983}">
      <text>
        <t>[Threaded comment]
Your version of Excel allows you to read this threaded comment; however, any edits to it will get removed if the file is opened in a newer version of Excel. Learn more: https://go.microsoft.com/fwlink/?linkid=870924
Comment:
    .24</t>
      </text>
    </comment>
    <comment ref="Y6" authorId="45" shapeId="0" xr:uid="{14EECA60-1568-4BEE-9B81-52C91F651007}">
      <text>
        <t>[Threaded comment]
Your version of Excel allows you to read this threaded comment; however, any edits to it will get removed if the file is opened in a newer version of Excel. Learn more: https://go.microsoft.com/fwlink/?linkid=870924
Comment:
    .341
.347</t>
      </text>
    </comment>
    <comment ref="Z6" authorId="46" shapeId="0" xr:uid="{030E568B-0477-4849-99AD-701B3409CA6B}">
      <text>
        <t>[Threaded comment]
Your version of Excel allows you to read this threaded comment; however, any edits to it will get removed if the file is opened in a newer version of Excel. Learn more: https://go.microsoft.com/fwlink/?linkid=870924
Comment:
    .412
.525-.526
v (no)
.351
Reply:
    Used to be Yes?</t>
      </text>
    </comment>
    <comment ref="AA6" authorId="47" shapeId="0" xr:uid="{4DFA10F8-FFAF-40E8-AEAD-6A4A435A3AC0}">
      <text>
        <t>[Threaded comment]
Your version of Excel allows you to read this threaded comment; however, any edits to it will get removed if the file is opened in a newer version of Excel. Learn more: https://go.microsoft.com/fwlink/?linkid=870924
Comment:
    .24
.355</t>
      </text>
    </comment>
    <comment ref="AB6" authorId="48" shapeId="0" xr:uid="{40293D9B-C217-45CB-A759-3741CA78C250}">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C6" authorId="49" shapeId="0" xr:uid="{AE1B4C6D-7DA6-43D8-85AD-CDAF7C9C46E8}">
      <text>
        <t>[Threaded comment]
Your version of Excel allows you to read this threaded comment; however, any edits to it will get removed if the file is opened in a newer version of Excel. Learn more: https://go.microsoft.com/fwlink/?linkid=870924
Comment:
    .379
.380
.507</t>
      </text>
    </comment>
    <comment ref="AD6" authorId="50" shapeId="0" xr:uid="{F8B9546E-0ABB-4188-A044-8D933801575D}">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E6" authorId="51" shapeId="0" xr:uid="{B9E1F801-C038-4F28-B919-33BB386C70D8}">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G6" authorId="52" shapeId="0" xr:uid="{187BDEB0-606B-4E63-A04E-527C71C15A71}">
      <text>
        <t>[Threaded comment]
Your version of Excel allows you to read this threaded comment; however, any edits to it will get removed if the file is opened in a newer version of Excel. Learn more: https://go.microsoft.com/fwlink/?linkid=870924
Comment:
    .27
.39
.43</t>
      </text>
    </comment>
    <comment ref="S7" authorId="53" shapeId="0" xr:uid="{6A44D9E4-EAD3-45EC-A41C-30B267D5ECCA}">
      <text>
        <t>[Threaded comment]
Your version of Excel allows you to read this threaded comment; however, any edits to it will get removed if the file is opened in a newer version of Excel. Learn more: https://go.microsoft.com/fwlink/?linkid=870924
Comment:
    .27</t>
      </text>
    </comment>
    <comment ref="W7" authorId="54" shapeId="0" xr:uid="{DB252D02-6A56-4621-8D64-06B565A4D57E}">
      <text>
        <t>[Threaded comment]
Your version of Excel allows you to read this threaded comment; however, any edits to it will get removed if the file is opened in a newer version of Excel. Learn more: https://go.microsoft.com/fwlink/?linkid=870924
Comment:
    .27</t>
      </text>
    </comment>
    <comment ref="Y7" authorId="55" shapeId="0" xr:uid="{960A4AFE-1AB4-4DC6-8ADE-2516530F9C9B}">
      <text>
        <t>[Threaded comment]
Your version of Excel allows you to read this threaded comment; however, any edits to it will get removed if the file is opened in a newer version of Excel. Learn more: https://go.microsoft.com/fwlink/?linkid=870924
Comment:
    .134</t>
      </text>
    </comment>
    <comment ref="Z7" authorId="56" shapeId="0" xr:uid="{F733FB17-9710-4888-BEE8-AD542F8DF91A}">
      <text>
        <t>[Threaded comment]
Your version of Excel allows you to read this threaded comment; however, any edits to it will get removed if the file is opened in a newer version of Excel. Learn more: https://go.microsoft.com/fwlink/?linkid=870924
Comment:
    180</t>
      </text>
    </comment>
    <comment ref="AA7" authorId="57" shapeId="0" xr:uid="{49EBB7D2-AB62-4CEE-9C03-D8A3171CEA2C}">
      <text>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text>
    </comment>
    <comment ref="AB7" authorId="58" shapeId="0" xr:uid="{243AB504-4E91-48DF-B7F5-661F93FF4C01}">
      <text>
        <t>[Threaded comment]
Your version of Excel allows you to read this threaded comment; however, any edits to it will get removed if the file is opened in a newer version of Excel. Learn more: https://go.microsoft.com/fwlink/?linkid=870924
Comment:
    .197
.202</t>
      </text>
    </comment>
    <comment ref="AC7" authorId="59" shapeId="0" xr:uid="{DEEF59A0-8B3B-4ABD-8775-D25C530FA377}">
      <text>
        <t>[Threaded comment]
Your version of Excel allows you to read this threaded comment; however, any edits to it will get removed if the file is opened in a newer version of Excel. Learn more: https://go.microsoft.com/fwlink/?linkid=870924
Comment:
    .212
.234
.261</t>
      </text>
    </comment>
    <comment ref="AD7" authorId="60" shapeId="0" xr:uid="{DEC2603D-A0DE-42D2-BC5A-2A8CBB7EE2D7}">
      <text>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
Reply:
    Yes if we take the 1° and 2° offers, the 3° is not clear in terms of timing.</t>
      </text>
    </comment>
    <comment ref="AE7" authorId="61" shapeId="0" xr:uid="{148B6DA7-75BB-40CA-86FE-2647624F9A24}">
      <text>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.261
.275
.277</t>
      </text>
    </comment>
    <comment ref="S8" authorId="62" shapeId="0" xr:uid="{44956432-A9AB-471E-8893-FC70F81C9DA2}">
      <text>
        <t>[Threaded comment]
Your version of Excel allows you to read this threaded comment; however, any edits to it will get removed if the file is opened in a newer version of Excel. Learn more: https://go.microsoft.com/fwlink/?linkid=870924
Comment:
    .17</t>
      </text>
    </comment>
    <comment ref="W8" authorId="63" shapeId="0" xr:uid="{69ECBD18-BD0E-4058-B923-B815FDE951A3}">
      <text>
        <t>[Threaded comment]
Your version of Excel allows you to read this threaded comment; however, any edits to it will get removed if the file is opened in a newer version of Excel. Learn more: https://go.microsoft.com/fwlink/?linkid=870924
Comment:
    .17</t>
      </text>
    </comment>
    <comment ref="Y8" authorId="64" shapeId="0" xr:uid="{4D7FB27D-FF9E-4A0B-BCA5-F7858A4A4891}">
      <text>
        <t>[Threaded comment]
Your version of Excel allows you to read this threaded comment; however, any edits to it will get removed if the file is opened in a newer version of Excel. Learn more: https://go.microsoft.com/fwlink/?linkid=870924
Comment:
    .126</t>
      </text>
    </comment>
    <comment ref="Z8" authorId="65" shapeId="0" xr:uid="{AC747E91-32BF-438A-B0A5-52F5DC0EEB0A}">
      <text>
        <t>[Threaded comment]
Your version of Excel allows you to read this threaded comment; however, any edits to it will get removed if the file is opened in a newer version of Excel. Learn more: https://go.microsoft.com/fwlink/?linkid=870924
Comment:
    .172</t>
      </text>
    </comment>
    <comment ref="AA8" authorId="66" shapeId="0" xr:uid="{260428E4-E23D-40B2-8FF1-C5136A23A65F}">
      <text>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text>
    </comment>
    <comment ref="AB8" authorId="67" shapeId="0" xr:uid="{75D65F61-A5B2-430D-839E-BC16D2E1E28A}">
      <text>
        <t>[Threaded comment]
Your version of Excel allows you to read this threaded comment; however, any edits to it will get removed if the file is opened in a newer version of Excel. Learn more: https://go.microsoft.com/fwlink/?linkid=870924
Comment:
    .189</t>
      </text>
    </comment>
    <comment ref="AC8" authorId="68" shapeId="0" xr:uid="{A1EB9518-D83A-47E4-8D9E-4633D922A90B}">
      <text>
        <t>[Threaded comment]
Your version of Excel allows you to read this threaded comment; however, any edits to it will get removed if the file is opened in a newer version of Excel. Learn more: https://go.microsoft.com/fwlink/?linkid=870924
Comment:
    .203
.220
.225
.252
.266</t>
      </text>
    </comment>
    <comment ref="AD8" authorId="69" shapeId="0" xr:uid="{56D2B1A3-D2D5-45C1-A0F9-8F8612C3B8CD}">
      <text>
        <t>[Threaded comment]
Your version of Excel allows you to read this threaded comment; however, any edits to it will get removed if the file is opened in a newer version of Excel. Learn more: https://go.microsoft.com/fwlink/?linkid=870924
Comment:
    .218-.220
Reply:
    Yes if we take the 1° and 2° offers, the 3° is not clear in terms of timing.</t>
      </text>
    </comment>
    <comment ref="AE8" authorId="70" shapeId="0" xr:uid="{8972FBC0-F1E4-47A4-B343-0DE72570A0FD}">
      <text>
        <t>[Threaded comment]
Your version of Excel allows you to read this threaded comment; however, any edits to it will get removed if the file is opened in a newer version of Excel. Learn more: https://go.microsoft.com/fwlink/?linkid=870924
Comment:
    .225
.254
.268
.281</t>
      </text>
    </comment>
    <comment ref="S9" authorId="71" shapeId="0" xr:uid="{73E1787A-B21D-47A1-A113-9153568C4472}">
      <text>
        <t>[Threaded comment]
Your version of Excel allows you to read this threaded comment; however, any edits to it will get removed if the file is opened in a newer version of Excel. Learn more: https://go.microsoft.com/fwlink/?linkid=870924
Comment:
    .61-.66</t>
      </text>
    </comment>
    <comment ref="W9" authorId="72" shapeId="0" xr:uid="{2874E882-837E-4B1B-B2A0-BFAC526D7DFD}">
      <text>
        <t>[Threaded comment]
Your version of Excel allows you to read this threaded comment; however, any edits to it will get removed if the file is opened in a newer version of Excel. Learn more: https://go.microsoft.com/fwlink/?linkid=870924
Comment:
    .61-.66</t>
      </text>
    </comment>
    <comment ref="Y9" authorId="73" shapeId="0" xr:uid="{E28910C6-A962-496F-97C2-E7F89365FB12}">
      <text>
        <t>[Threaded comment]
Your version of Excel allows you to read this threaded comment; however, any edits to it will get removed if the file is opened in a newer version of Excel. Learn more: https://go.microsoft.com/fwlink/?linkid=870924
Comment:
    .283</t>
      </text>
    </comment>
    <comment ref="Z9" authorId="74" shapeId="0" xr:uid="{E7FE2167-966E-4AEE-B2C4-B48109B61499}">
      <text>
        <t>[Threaded comment]
Your version of Excel allows you to read this threaded comment; however, any edits to it will get removed if the file is opened in a newer version of Excel. Learn more: https://go.microsoft.com/fwlink/?linkid=870924
Comment:
    .296</t>
      </text>
    </comment>
    <comment ref="AA9" authorId="75" shapeId="0" xr:uid="{C20BA7D8-E49F-4E1B-9CFA-C1130061E9EC}">
      <text>
        <t>[Threaded comment]
Your version of Excel allows you to read this threaded comment; however, any edits to it will get removed if the file is opened in a newer version of Excel. Learn more: https://go.microsoft.com/fwlink/?linkid=870924
Comment:
    .314
.316
.328</t>
      </text>
    </comment>
    <comment ref="AB9" authorId="76" shapeId="0" xr:uid="{105A1EF1-EEF6-4094-AC34-32D28EBB6ECA}">
      <text>
        <t>[Threaded comment]
Your version of Excel allows you to read this threaded comment; however, any edits to it will get removed if the file is opened in a newer version of Excel. Learn more: https://go.microsoft.com/fwlink/?linkid=870924
Comment:
    .346</t>
      </text>
    </comment>
    <comment ref="AC9" authorId="77" shapeId="0" xr:uid="{B0EB4E27-D21A-41BB-901D-D12FC1C8ABE4}">
      <text>
        <t>[Threaded comment]
Your version of Excel allows you to read this threaded comment; however, any edits to it will get removed if the file is opened in a newer version of Excel. Learn more: https://go.microsoft.com/fwlink/?linkid=870924
Comment:
    .352</t>
      </text>
    </comment>
    <comment ref="AD9" authorId="78" shapeId="0" xr:uid="{3EB0BB67-9B6A-414C-81BE-F885E20FBFCB}">
      <text>
        <t>[Threaded comment]
Your version of Excel allows you to read this threaded comment; however, any edits to it will get removed if the file is opened in a newer version of Excel. Learn more: https://go.microsoft.com/fwlink/?linkid=870924
Comment:
    .352
.354</t>
      </text>
    </comment>
    <comment ref="AE9" authorId="79" shapeId="0" xr:uid="{50B61ECB-69F7-42D3-A7D8-C70B6FF311A0}">
      <text>
        <t>[Threaded comment]
Your version of Excel allows you to read this threaded comment; however, any edits to it will get removed if the file is opened in a newer version of Excel. Learn more: https://go.microsoft.com/fwlink/?linkid=870924
Comment:
    .352
.389</t>
      </text>
    </comment>
    <comment ref="AF9" authorId="80" shapeId="0" xr:uid="{573C5950-2F10-491A-B2FF-C9EE74287A53}">
      <text>
        <t>[Threaded comment]
Your version of Excel allows you to read this threaded comment; however, any edits to it will get removed if the file is opened in a newer version of Excel. Learn more: https://go.microsoft.com/fwlink/?linkid=870924
Comment:
    .58-.59
.77</t>
      </text>
    </comment>
    <comment ref="AG9" authorId="81" shapeId="0" xr:uid="{916713E7-708F-4478-9557-7BAC9060C1B9}">
      <text>
        <t>[Threaded comment]
Your version of Excel allows you to read this threaded comment; however, any edits to it will get removed if the file is opened in a newer version of Excel. Learn more: https://go.microsoft.com/fwlink/?linkid=870924
Comment:
    .68
.76
.333</t>
      </text>
    </comment>
    <comment ref="Q10" authorId="82" shapeId="0" xr:uid="{2E9FDB49-56F4-4B26-8F56-B2E973D56E0C}">
      <text>
        <t>[Threaded comment]
Your version of Excel allows you to read this threaded comment; however, any edits to it will get removed if the file is opened in a newer version of Excel. Learn more: https://go.microsoft.com/fwlink/?linkid=870924
Comment:
    Check</t>
      </text>
    </comment>
    <comment ref="S10" authorId="83" shapeId="0" xr:uid="{8F109CA9-A73F-4D44-9853-7DF42497C09B}">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V10" authorId="84" shapeId="0" xr:uid="{8327C607-6C88-4853-8508-8D8466303F6B}">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W10" authorId="85" shapeId="0" xr:uid="{458CCA5A-8A40-4513-B23F-802C0D07DF7C}">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Y10" authorId="86" shapeId="0" xr:uid="{C5576B95-FB4A-46B9-A90B-42D5350622B5}">
      <text>
        <t>[Threaded comment]
Your version of Excel allows you to read this threaded comment; however, any edits to it will get removed if the file is opened in a newer version of Excel. Learn more: https://go.microsoft.com/fwlink/?linkid=870924
Comment:
    .229</t>
      </text>
    </comment>
    <comment ref="Z10" authorId="87" shapeId="0" xr:uid="{32EF9CD7-BA2B-483C-BB0C-A46C079D3CEF}">
      <text>
        <t>[Threaded comment]
Your version of Excel allows you to read this threaded comment; however, any edits to it will get removed if the file is opened in a newer version of Excel. Learn more: https://go.microsoft.com/fwlink/?linkid=870924
Comment:
    .239</t>
      </text>
    </comment>
    <comment ref="AA10" authorId="88" shapeId="0" xr:uid="{2D5667F1-0566-448B-9EFA-89E7C1AB570F}">
      <text>
        <t>[Threaded comment]
Your version of Excel allows you to read this threaded comment; however, any edits to it will get removed if the file is opened in a newer version of Excel. Learn more: https://go.microsoft.com/fwlink/?linkid=870924
Comment:
    .255
.257</t>
      </text>
    </comment>
    <comment ref="AB10" authorId="89" shapeId="0" xr:uid="{F4605D22-990D-4459-AC64-EA33DFCE2B33}">
      <text>
        <t>[Threaded comment]
Your version of Excel allows you to read this threaded comment; however, any edits to it will get removed if the file is opened in a newer version of Excel. Learn more: https://go.microsoft.com/fwlink/?linkid=870924
Comment:
    .300</t>
      </text>
    </comment>
    <comment ref="AC10" authorId="90" shapeId="0" xr:uid="{99C678DB-11A8-48A2-ADAA-7A51963FA428}">
      <text>
        <t>[Threaded comment]
Your version of Excel allows you to read this threaded comment; however, any edits to it will get removed if the file is opened in a newer version of Excel. Learn more: https://go.microsoft.com/fwlink/?linkid=870924
Comment:
    .310</t>
      </text>
    </comment>
    <comment ref="AD10" authorId="91" shapeId="0" xr:uid="{A569A70E-5132-4D1C-8E2C-BCD69901996D}">
      <text>
        <t>[Threaded comment]
Your version of Excel allows you to read this threaded comment; however, any edits to it will get removed if the file is opened in a newer version of Excel. Learn more: https://go.microsoft.com/fwlink/?linkid=870924
Comment:
    .310
.312
.314</t>
      </text>
    </comment>
    <comment ref="AE10" authorId="92" shapeId="0" xr:uid="{B9211CE3-9786-4DB4-AF30-2F4B436DF855}">
      <text>
        <t>[Threaded comment]
Your version of Excel allows you to read this threaded comment; however, any edits to it will get removed if the file is opened in a newer version of Excel. Learn more: https://go.microsoft.com/fwlink/?linkid=870924
Comment:
    .310
.330</t>
      </text>
    </comment>
    <comment ref="AF10" authorId="93" shapeId="0" xr:uid="{1CC0472A-E895-4228-937F-B0E6895ED123}">
      <text>
        <t>[Threaded comment]
Your version of Excel allows you to read this threaded comment; however, any edits to it will get removed if the file is opened in a newer version of Excel. Learn more: https://go.microsoft.com/fwlink/?linkid=870924
Comment:
    .24-25
.337</t>
      </text>
    </comment>
    <comment ref="AG10" authorId="94" shapeId="0" xr:uid="{57892AA3-FDEB-4730-9DA5-61DC02DBFE3C}">
      <text>
        <t>[Threaded comment]
Your version of Excel allows you to read this threaded comment; however, any edits to it will get removed if the file is opened in a newer version of Excel. Learn more: https://go.microsoft.com/fwlink/?linkid=870924
Comment:
    .25
.30
.72
.82</t>
      </text>
    </comment>
    <comment ref="AS10" authorId="95" shapeId="0" xr:uid="{BD4BF902-3B15-4F98-B336-684F10E9EEF8}">
      <text>
        <t>[Threaded comment]
Your version of Excel allows you to read this threaded comment; however, any edits to it will get removed if the file is opened in a newer version of Excel. Learn more: https://go.microsoft.com/fwlink/?linkid=870924
Comment:
    Darts</t>
      </text>
    </comment>
    <comment ref="S11" authorId="96" shapeId="0" xr:uid="{14B9FB9F-507E-4335-AEB7-E016568814AF}">
      <text>
        <t>[Threaded comment]
Your version of Excel allows you to read this threaded comment; however, any edits to it will get removed if the file is opened in a newer version of Excel. Learn more: https://go.microsoft.com/fwlink/?linkid=870924
Comment:
    .39
.339</t>
      </text>
    </comment>
    <comment ref="W11" authorId="97" shapeId="0" xr:uid="{9138FA53-0D99-4E3F-A2F6-E2B056E8BD15}">
      <text>
        <t>[Threaded comment]
Your version of Excel allows you to read this threaded comment; however, any edits to it will get removed if the file is opened in a newer version of Excel. Learn more: https://go.microsoft.com/fwlink/?linkid=870924
Comment:
    .39
.339</t>
      </text>
    </comment>
    <comment ref="Y11" authorId="98" shapeId="0" xr:uid="{652BDA78-2EC6-4AD4-9B64-392CF78A0D04}">
      <text>
        <t>[Threaded comment]
Your version of Excel allows you to read this threaded comment; however, any edits to it will get removed if the file is opened in a newer version of Excel. Learn more: https://go.microsoft.com/fwlink/?linkid=870924
Comment:
    .307</t>
      </text>
    </comment>
    <comment ref="Z11" authorId="99" shapeId="0" xr:uid="{2A3911DA-BA6D-4797-B2CC-6E6A04EF9ED3}">
      <text>
        <t>[Threaded comment]
Your version of Excel allows you to read this threaded comment; however, any edits to it will get removed if the file is opened in a newer version of Excel. Learn more: https://go.microsoft.com/fwlink/?linkid=870924
Comment:
    .321</t>
      </text>
    </comment>
    <comment ref="AA11" authorId="100" shapeId="0" xr:uid="{66F1C17D-8C5F-43A6-80D9-F95B914FE8BD}">
      <text>
        <t>[Threaded comment]
Your version of Excel allows you to read this threaded comment; however, any edits to it will get removed if the file is opened in a newer version of Excel. Learn more: https://go.microsoft.com/fwlink/?linkid=870924
Comment:
    .339
.341</t>
      </text>
    </comment>
    <comment ref="AB11" authorId="101" shapeId="0" xr:uid="{2003293A-5D9D-4584-86F0-3D81A4438A89}">
      <text>
        <t>[Threaded comment]
Your version of Excel allows you to read this threaded comment; however, any edits to it will get removed if the file is opened in a newer version of Excel. Learn more: https://go.microsoft.com/fwlink/?linkid=870924
Comment:
    .398</t>
      </text>
    </comment>
    <comment ref="AC11" authorId="102" shapeId="0" xr:uid="{5CD7767F-5E3F-4243-98E0-A0F3FF28E7E1}">
      <text>
        <t>[Threaded comment]
Your version of Excel allows you to read this threaded comment; however, any edits to it will get removed if the file is opened in a newer version of Excel. Learn more: https://go.microsoft.com/fwlink/?linkid=870924
Comment:
    .405</t>
      </text>
    </comment>
    <comment ref="AD11" authorId="103" shapeId="0" xr:uid="{2A36B220-42A5-4B93-9692-2D5EF426F4D0}">
      <text>
        <t>[Threaded comment]
Your version of Excel allows you to read this threaded comment; however, any edits to it will get removed if the file is opened in a newer version of Excel. Learn more: https://go.microsoft.com/fwlink/?linkid=870924
Comment:
    .405
.407
.409</t>
      </text>
    </comment>
    <comment ref="AE11" authorId="104" shapeId="0" xr:uid="{F490BE34-E22B-410B-8612-A91490F9A111}">
      <text>
        <t>[Threaded comment]
Your version of Excel allows you to read this threaded comment; however, any edits to it will get removed if the file is opened in a newer version of Excel. Learn more: https://go.microsoft.com/fwlink/?linkid=870924
Comment:
    .405
.429</t>
      </text>
    </comment>
    <comment ref="AF11" authorId="105" shapeId="0" xr:uid="{456CF1BF-27B3-4CAE-9FFD-AD72CC413060}">
      <text>
        <t>[Threaded comment]
Your version of Excel allows you to read this threaded comment; however, any edits to it will get removed if the file is opened in a newer version of Excel. Learn more: https://go.microsoft.com/fwlink/?linkid=870924
Comment:
    .36</t>
      </text>
    </comment>
    <comment ref="AG11" authorId="106" shapeId="0" xr:uid="{D77B8BBA-756E-488C-93FB-C91A3BAE99DE}">
      <text>
        <t>[Threaded comment]
Your version of Excel allows you to read this threaded comment; however, any edits to it will get removed if the file is opened in a newer version of Excel. Learn more: https://go.microsoft.com/fwlink/?linkid=870924
Comment:
    .54
.124
.361</t>
      </text>
    </comment>
    <comment ref="AS11" authorId="107" shapeId="0" xr:uid="{02285F79-8C4E-462D-B109-48FD2897F386}">
      <text>
        <t>[Threaded comment]
Your version of Excel allows you to read this threaded comment; however, any edits to it will get removed if the file is opened in a newer version of Excel. Learn more: https://go.microsoft.com/fwlink/?linkid=870924
Comment:
    Darts</t>
      </text>
    </comment>
    <comment ref="S12" authorId="108" shapeId="0" xr:uid="{80DD5EC9-385A-4DE2-8CFA-877ACF33A4B2}">
      <text>
        <t>[Threaded comment]
Your version of Excel allows you to read this threaded comment; however, any edits to it will get removed if the file is opened in a newer version of Excel. Learn more: https://go.microsoft.com/fwlink/?linkid=870924
Comment:
    .211</t>
      </text>
    </comment>
    <comment ref="W12" authorId="109" shapeId="0" xr:uid="{95BE14B0-7503-4098-BA39-71FE63FE1207}">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Y12" authorId="110" shapeId="0" xr:uid="{679FA712-0146-4E13-8641-2F8F1A011A69}">
      <text>
        <t>[Threaded comment]
Your version of Excel allows you to read this threaded comment; however, any edits to it will get removed if the file is opened in a newer version of Excel. Learn more: https://go.microsoft.com/fwlink/?linkid=870924
Comment:
    .142</t>
      </text>
    </comment>
    <comment ref="Z12" authorId="111" shapeId="0" xr:uid="{E57D2E1E-669E-4108-A7F7-7B86E181E865}">
      <text>
        <t>[Threaded comment]
Your version of Excel allows you to read this threaded comment; however, any edits to it will get removed if the file is opened in a newer version of Excel. Learn more: https://go.microsoft.com/fwlink/?linkid=870924
Comment:
    .188
Reply:
    Used to be Yes?</t>
      </text>
    </comment>
    <comment ref="AA12" authorId="112" shapeId="0" xr:uid="{C7B009AF-D30C-487B-9EA2-6A94B48CAEF2}">
      <text>
        <t>[Threaded comment]
Your version of Excel allows you to read this threaded comment; however, any edits to it will get removed if the file is opened in a newer version of Excel. Learn more: https://go.microsoft.com/fwlink/?linkid=870924
Comment:
    .211</t>
      </text>
    </comment>
    <comment ref="AB12" authorId="113" shapeId="0" xr:uid="{2DC6096D-F550-4FF4-8077-746F5C34DAD4}">
      <text>
        <t>[Threaded comment]
Your version of Excel allows you to read this threaded comment; however, any edits to it will get removed if the file is opened in a newer version of Excel. Learn more: https://go.microsoft.com/fwlink/?linkid=870924
Comment:
    .205
.210</t>
      </text>
    </comment>
    <comment ref="AC12" authorId="114" shapeId="0" xr:uid="{46E52BEA-6585-43C5-8219-2433D3F336A6}">
      <text>
        <t>[Threaded comment]
Your version of Excel allows you to read this threaded comment; however, any edits to it will get removed if the file is opened in a newer version of Excel. Learn more: https://go.microsoft.com/fwlink/?linkid=870924
Comment:
    .220
.269</t>
      </text>
    </comment>
    <comment ref="AD12" authorId="115" shapeId="0" xr:uid="{B3471C83-0B98-4490-A0C6-13C30A9D7054}">
      <text>
        <t>[Threaded comment]
Your version of Excel allows you to read this threaded comment; however, any edits to it will get removed if the file is opened in a newer version of Excel. Learn more: https://go.microsoft.com/fwlink/?linkid=870924
Comment:
    .235-.237
Reply:
    Yes if we take the 1° and 2° offers, the 3° is not clear in terms of timing.</t>
      </text>
    </comment>
    <comment ref="AE12" authorId="116" shapeId="0" xr:uid="{C0DAFFF0-5F71-4335-810A-5C76BF02E094}">
      <text>
        <t>[Threaded comment]
Your version of Excel allows you to read this threaded comment; however, any edits to it will get removed if the file is opened in a newer version of Excel. Learn more: https://go.microsoft.com/fwlink/?linkid=870924
Comment:
    .242
.271
.283
.285</t>
      </text>
    </comment>
    <comment ref="D13" authorId="117" shapeId="0" xr:uid="{D2DCE1C1-1B73-47D7-81BE-11F288517D5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text>
    </comment>
    <comment ref="E13" authorId="118" shapeId="0" xr:uid="{518469CA-1F4A-46B0-BC2B-8099A7F31349}">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Q13" authorId="119" shapeId="0" xr:uid="{FCCB471E-EE0A-4222-9705-4FB92564BDC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S13" authorId="120" shapeId="0" xr:uid="{C0C84D00-BE63-4A2C-98A6-83AE40166A32}">
      <text>
        <t>[Threaded comment]
Your version of Excel allows you to read this threaded comment; however, any edits to it will get removed if the file is opened in a newer version of Excel. Learn more: https://go.microsoft.com/fwlink/?linkid=870924
Comment:
    .96</t>
      </text>
    </comment>
    <comment ref="W13" authorId="121" shapeId="0" xr:uid="{68F1A096-FB48-4540-8EB7-EE23F006E619}">
      <text>
        <t>[Threaded comment]
Your version of Excel allows you to read this threaded comment; however, any edits to it will get removed if the file is opened in a newer version of Excel. Learn more: https://go.microsoft.com/fwlink/?linkid=870924
Comment:
    .96</t>
      </text>
    </comment>
    <comment ref="Y13" authorId="122" shapeId="0" xr:uid="{F8C5E988-6610-4EFC-A032-F3B269FF5BC5}">
      <text>
        <t>[Threaded comment]
Your version of Excel allows you to read this threaded comment; however, any edits to it will get removed if the file is opened in a newer version of Excel. Learn more: https://go.microsoft.com/fwlink/?linkid=870924
Comment:
    .227</t>
      </text>
    </comment>
    <comment ref="Z13" authorId="123" shapeId="0" xr:uid="{F70D2C06-E011-4631-ADE7-B8CA3FB8F229}">
      <text>
        <t>[Threaded comment]
Your version of Excel allows you to read this threaded comment; however, any edits to it will get removed if the file is opened in a newer version of Excel. Learn more: https://go.microsoft.com/fwlink/?linkid=870924
Comment:
    .237</t>
      </text>
    </comment>
    <comment ref="AA13" authorId="124" shapeId="0" xr:uid="{55385772-3D73-4046-BC54-86361972A274}">
      <text>
        <t>[Threaded comment]
Your version of Excel allows you to read this threaded comment; however, any edits to it will get removed if the file is opened in a newer version of Excel. Learn more: https://go.microsoft.com/fwlink/?linkid=870924
Comment:
    .253
.255
.258</t>
      </text>
    </comment>
    <comment ref="AB13" authorId="125" shapeId="0" xr:uid="{740B158C-5415-42F9-9A7D-42F54B1397D5}">
      <text>
        <t>[Threaded comment]
Your version of Excel allows you to read this threaded comment; however, any edits to it will get removed if the file is opened in a newer version of Excel. Learn more: https://go.microsoft.com/fwlink/?linkid=870924
Comment:
    .253
.298</t>
      </text>
    </comment>
    <comment ref="AC13" authorId="126" shapeId="0" xr:uid="{A95BB7CE-E09A-4C3D-89AB-0769D461C0BD}">
      <text>
        <t>[Threaded comment]
Your version of Excel allows you to read this threaded comment; however, any edits to it will get removed if the file is opened in a newer version of Excel. Learn more: https://go.microsoft.com/fwlink/?linkid=870924
Comment:
    .308</t>
      </text>
    </comment>
    <comment ref="AD13" authorId="127" shapeId="0" xr:uid="{1DB01CCF-AE95-4AB3-BF47-913A232A3BD7}">
      <text>
        <t>[Threaded comment]
Your version of Excel allows you to read this threaded comment; however, any edits to it will get removed if the file is opened in a newer version of Excel. Learn more: https://go.microsoft.com/fwlink/?linkid=870924
Comment:
    .308
.310
.312</t>
      </text>
    </comment>
    <comment ref="AE13" authorId="128" shapeId="0" xr:uid="{D8C99A50-5FDB-4925-8FEE-039F3A5B39A1}">
      <text>
        <t>[Threaded comment]
Your version of Excel allows you to read this threaded comment; however, any edits to it will get removed if the file is opened in a newer version of Excel. Learn more: https://go.microsoft.com/fwlink/?linkid=870924
Comment:
    .308
.328</t>
      </text>
    </comment>
    <comment ref="AF13" authorId="129" shapeId="0" xr:uid="{66C3080C-A5C6-44C1-8C07-981EBCDB6115}">
      <text>
        <t>[Threaded comment]
Your version of Excel allows you to read this threaded comment; however, any edits to it will get removed if the file is opened in a newer version of Excel. Learn more: https://go.microsoft.com/fwlink/?linkid=870924
Comment:
    .54-.55</t>
      </text>
    </comment>
    <comment ref="AG13" authorId="130" shapeId="0" xr:uid="{523A47A7-9A1D-4B6A-B8C6-217DB7A7CCBB}">
      <text>
        <t>[Threaded comment]
Your version of Excel allows you to read this threaded comment; however, any edits to it will get removed if the file is opened in a newer version of Excel. Learn more: https://go.microsoft.com/fwlink/?linkid=870924
Comment:
    .55
.60
.102</t>
      </text>
    </comment>
    <comment ref="AS13" authorId="131" shapeId="0" xr:uid="{AC2B570A-15AB-43B5-AD1D-554728708421}">
      <text>
        <t>[Threaded comment]
Your version of Excel allows you to read this threaded comment; however, any edits to it will get removed if the file is opened in a newer version of Excel. Learn more: https://go.microsoft.com/fwlink/?linkid=870924
Comment:
    Darts</t>
      </text>
    </comment>
    <comment ref="S14" authorId="132" shapeId="0" xr:uid="{691A1B6F-FA88-4FD1-ADBD-B393A92BC9EA}">
      <text>
        <t>[Threaded comment]
Your version of Excel allows you to read this threaded comment; however, any edits to it will get removed if the file is opened in a newer version of Excel. Learn more: https://go.microsoft.com/fwlink/?linkid=870924
Comment:
    .40
.214
11.07.2018
.759
Mention of a prior infringement notification in 2016</t>
      </text>
    </comment>
    <comment ref="W14" authorId="133" shapeId="0" xr:uid="{BB512E5E-D1FE-423D-8631-99DF600A5497}">
      <text>
        <t>[Threaded comment]
Your version of Excel allows you to read this threaded comment; however, any edits to it will get removed if the file is opened in a newer version of Excel. Learn more: https://go.microsoft.com/fwlink/?linkid=870924
Comment:
    .40
.214
.759
Mention of a prior infringement notification in 2016</t>
      </text>
    </comment>
    <comment ref="Y14" authorId="134" shapeId="0" xr:uid="{1AE5DBD9-176F-472D-A58B-A2AF3EDDD55F}">
      <text>
        <t>[Threaded comment]
Your version of Excel allows you to read this threaded comment; however, any edits to it will get removed if the file is opened in a newer version of Excel. Learn more: https://go.microsoft.com/fwlink/?linkid=870924
Comment:
    .189</t>
      </text>
    </comment>
    <comment ref="Z14" authorId="135" shapeId="0" xr:uid="{D892EFA6-909A-4EA1-BA9A-B585B074222B}">
      <text>
        <t>[Threaded comment]
Your version of Excel allows you to read this threaded comment; however, any edits to it will get removed if the file is opened in a newer version of Excel. Learn more: https://go.microsoft.com/fwlink/?linkid=870924
Comment:
    .187
.199</t>
      </text>
    </comment>
    <comment ref="AA14" authorId="136" shapeId="0" xr:uid="{B77E86EE-3E7D-46FF-88DE-01EE7D311119}">
      <text>
        <t xml:space="preserve">[Threaded comment]
Your version of Excel allows you to read this threaded comment; however, any edits to it will get removed if the file is opened in a newer version of Excel. Learn more: https://go.microsoft.com/fwlink/?linkid=870924
Comment:
    .206
.209
.213
.758
</t>
      </text>
    </comment>
    <comment ref="AB14" authorId="137" shapeId="0" xr:uid="{BAB8D0D4-EE33-46E7-A0A7-991C476FC3CB}">
      <text>
        <t>[Threaded comment]
Your version of Excel allows you to read this threaded comment; however, any edits to it will get removed if the file is opened in a newer version of Excel. Learn more: https://go.microsoft.com/fwlink/?linkid=870924
Comment:
    .236
.762-.763
v
.751
.760</t>
      </text>
    </comment>
    <comment ref="AC14" authorId="138" shapeId="0" xr:uid="{39B49277-791B-4CE3-969E-48DDD7B8F5A8}">
      <text>
        <t>[Threaded comment]
Your version of Excel allows you to read this threaded comment; however, any edits to it will get removed if the file is opened in a newer version of Excel. Learn more: https://go.microsoft.com/fwlink/?linkid=870924
Comment:
    .240-.241
.244
.264
.268
.270
.280
.306
.314
.319
.325</t>
      </text>
    </comment>
    <comment ref="AD14" authorId="139" shapeId="0" xr:uid="{2D5903F3-791C-4366-9C7A-4803D6F372F1}">
      <text>
        <t>[Threaded comment]
Your version of Excel allows you to read this threaded comment; however, any edits to it will get removed if the file is opened in a newer version of Excel. Learn more: https://go.microsoft.com/fwlink/?linkid=870924
Comment:
    .241
.759</t>
      </text>
    </comment>
    <comment ref="AE14" authorId="140" shapeId="0" xr:uid="{94EEB219-E45B-48B7-B1B0-A2F1FFF2CF4B}">
      <text>
        <t>[Threaded comment]
Your version of Excel allows you to read this threaded comment; however, any edits to it will get removed if the file is opened in a newer version of Excel. Learn more: https://go.microsoft.com/fwlink/?linkid=870924
Comment:
    .264
.268
.270
.280
.306
.314
.319
.325</t>
      </text>
    </comment>
    <comment ref="AF14" authorId="141" shapeId="0" xr:uid="{727633F1-BECC-458B-90DB-67F0D59EFBB2}">
      <text>
        <t>[Threaded comment]
Your version of Excel allows you to read this threaded comment; however, any edits to it will get removed if the file is opened in a newer version of Excel. Learn more: https://go.microsoft.com/fwlink/?linkid=870924
Comment:
    .20-.21</t>
      </text>
    </comment>
    <comment ref="AG14" authorId="142" shapeId="0" xr:uid="{C405E714-911F-4686-9442-1886150507E2}">
      <text>
        <t>[Threaded comment]
Your version of Excel allows you to read this threaded comment; however, any edits to it will get removed if the file is opened in a newer version of Excel. Learn more: https://go.microsoft.com/fwlink/?linkid=870924
Comment:
    .25</t>
      </text>
    </comment>
    <comment ref="AS14" authorId="143" shapeId="0" xr:uid="{B1F16176-EEE7-44ED-BA26-8EC581D8F9C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5" authorId="144" shapeId="0" xr:uid="{3527BCF0-C7CF-4F36-A4F1-C308C8B701E2}">
      <text>
        <t>[Threaded comment]
Your version of Excel allows you to read this threaded comment; however, any edits to it will get removed if the file is opened in a newer version of Excel. Learn more: https://go.microsoft.com/fwlink/?linkid=870924
Comment:
    .93
.286
03.09.2018
.283
.299
.729
Mention of a prior infringement notification in 2016</t>
      </text>
    </comment>
    <comment ref="W15" authorId="145" shapeId="0" xr:uid="{185A59BE-E584-4582-8716-34A0A928F4DD}">
      <text>
        <t>[Threaded comment]
Your version of Excel allows you to read this threaded comment; however, any edits to it will get removed if the file is opened in a newer version of Excel. Learn more: https://go.microsoft.com/fwlink/?linkid=870924
Comment:
    .93
.286
.729
Mention of a prior infringement notification in 2016</t>
      </text>
    </comment>
    <comment ref="Y15" authorId="146" shapeId="0" xr:uid="{1B4F4FF7-7D19-4974-BF73-651178D1395C}">
      <text>
        <t>[Threaded comment]
Your version of Excel allows you to read this threaded comment; however, any edits to it will get removed if the file is opened in a newer version of Excel. Learn more: https://go.microsoft.com/fwlink/?linkid=870924
Comment:
    .261</t>
      </text>
    </comment>
    <comment ref="Z15" authorId="147" shapeId="0" xr:uid="{8E69EA43-EE77-41D4-BD95-E9238445985F}">
      <text>
        <t>[Threaded comment]
Your version of Excel allows you to read this threaded comment; however, any edits to it will get removed if the file is opened in a newer version of Excel. Learn more: https://go.microsoft.com/fwlink/?linkid=870924
Comment:
    .259
.271</t>
      </text>
    </comment>
    <comment ref="AA15" authorId="148" shapeId="0" xr:uid="{B032F41A-5E1C-4213-96C7-BF9328181352}">
      <text>
        <t>[Threaded comment]
Your version of Excel allows you to read this threaded comment; however, any edits to it will get removed if the file is opened in a newer version of Excel. Learn more: https://go.microsoft.com/fwlink/?linkid=870924
Comment:
    .278
.280
.285</t>
      </text>
    </comment>
    <comment ref="AB15" authorId="149" shapeId="0" xr:uid="{664687A0-DB82-4AF5-8153-C7606A681006}">
      <text>
        <t>[Threaded comment]
Your version of Excel allows you to read this threaded comment; however, any edits to it will get removed if the file is opened in a newer version of Excel. Learn more: https://go.microsoft.com/fwlink/?linkid=870924
Comment:
    .308</t>
      </text>
    </comment>
    <comment ref="AC15" authorId="150" shapeId="0" xr:uid="{18156598-DA80-4B94-927C-F76D65D08C34}">
      <text>
        <t>[Threaded comment]
Your version of Excel allows you to read this threaded comment; however, any edits to it will get removed if the file is opened in a newer version of Excel. Learn more: https://go.microsoft.com/fwlink/?linkid=870924
Comment:
    .312-.313
.316
.334
.336
.340
.350
.352
.378
.386
.391
.397</t>
      </text>
    </comment>
    <comment ref="AD15" authorId="151" shapeId="0" xr:uid="{39AE3E06-C470-474A-B0E0-F70CDA7D6AF2}">
      <text>
        <t>[Threaded comment]
Your version of Excel allows you to read this threaded comment; however, any edits to it will get removed if the file is opened in a newer version of Excel. Learn more: https://go.microsoft.com/fwlink/?linkid=870924
Comment:
    .313
.729</t>
      </text>
    </comment>
    <comment ref="AE15" authorId="152" shapeId="0" xr:uid="{308A59EA-5608-4FAD-B349-CB840292CC82}">
      <text>
        <t>[Threaded comment]
Your version of Excel allows you to read this threaded comment; however, any edits to it will get removed if the file is opened in a newer version of Excel. Learn more: https://go.microsoft.com/fwlink/?linkid=870924
Comment:
    .334
.336
.340
.350
.352
.378
.386
.391
.397</t>
      </text>
    </comment>
    <comment ref="AF15" authorId="153" shapeId="0" xr:uid="{BC32D8AC-7D3C-4E99-8839-F048B5D1FE7D}">
      <text>
        <t>[Threaded comment]
Your version of Excel allows you to read this threaded comment; however, any edits to it will get removed if the file is opened in a newer version of Excel. Learn more: https://go.microsoft.com/fwlink/?linkid=870924
Comment:
    .17-.18</t>
      </text>
    </comment>
    <comment ref="AG15" authorId="154" shapeId="0" xr:uid="{FE01621A-4E16-4131-92F3-B77F31FE5D4D}">
      <text>
        <t>[Threaded comment]
Your version of Excel allows you to read this threaded comment; however, any edits to it will get removed if the file is opened in a newer version of Excel. Learn more: https://go.microsoft.com/fwlink/?linkid=870924
Comment:
    .22</t>
      </text>
    </comment>
    <comment ref="AS15" authorId="155" shapeId="0" xr:uid="{4980AA7A-AFBA-466B-B56B-CEF1FBF31C0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6" authorId="156" shapeId="0" xr:uid="{3F009848-342E-43D1-B7AC-4EA920CDE45C}">
      <text>
        <t>[Threaded comment]
Your version of Excel allows you to read this threaded comment; however, any edits to it will get removed if the file is opened in a newer version of Excel. Learn more: https://go.microsoft.com/fwlink/?linkid=870924
Comment:
    .98
.328
20.11.2018
.325
.341
.579
Mention of a prior infringement notification in 2016</t>
      </text>
    </comment>
    <comment ref="W16" authorId="157" shapeId="0" xr:uid="{E1CCDFAA-33C1-4582-82D9-8A69C00030F5}">
      <text>
        <t>[Threaded comment]
Your version of Excel allows you to read this threaded comment; however, any edits to it will get removed if the file is opened in a newer version of Excel. Learn more: https://go.microsoft.com/fwlink/?linkid=870924
Comment:
    .354
.98
.328
20.11.2018
.579
Mention of a prior infringement notification in 2016</t>
      </text>
    </comment>
    <comment ref="Y16" authorId="158" shapeId="0" xr:uid="{CA62744D-382D-46F5-987C-B23DDA77016B}">
      <text>
        <t>[Threaded comment]
Your version of Excel allows you to read this threaded comment; however, any edits to it will get removed if the file is opened in a newer version of Excel. Learn more: https://go.microsoft.com/fwlink/?linkid=870924
Comment:
    .303</t>
      </text>
    </comment>
    <comment ref="Z16" authorId="159" shapeId="0" xr:uid="{8FED05BD-F7FB-47AD-80DE-82F2470A042B}">
      <text>
        <t>[Threaded comment]
Your version of Excel allows you to read this threaded comment; however, any edits to it will get removed if the file is opened in a newer version of Excel. Learn more: https://go.microsoft.com/fwlink/?linkid=870924
Comment:
    .301</t>
      </text>
    </comment>
    <comment ref="AA16" authorId="160" shapeId="0" xr:uid="{B4C4C990-B26A-4ECC-8076-8D9ABC8206AD}">
      <text>
        <t>[Threaded comment]
Your version of Excel allows you to read this threaded comment; however, any edits to it will get removed if the file is opened in a newer version of Excel. Learn more: https://go.microsoft.com/fwlink/?linkid=870924
Comment:
    .320
.322
.327</t>
      </text>
    </comment>
    <comment ref="AB16" authorId="161" shapeId="0" xr:uid="{BB8D7B27-8DAA-411C-86A9-D053F02A1E64}">
      <text>
        <t>[Threaded comment]
Your version of Excel allows you to read this threaded comment; however, any edits to it will get removed if the file is opened in a newer version of Excel. Learn more: https://go.microsoft.com/fwlink/?linkid=870924
Comment:
    .350</t>
      </text>
    </comment>
    <comment ref="AC16" authorId="162" shapeId="0" xr:uid="{18A9A681-E061-408F-BA0C-576FE14086A8}">
      <text>
        <t>[Threaded comment]
Your version of Excel allows you to read this threaded comment; however, any edits to it will get removed if the file is opened in a newer version of Excel. Learn more: https://go.microsoft.com/fwlink/?linkid=870924
Comment:
    .354-.355
.358
.376
.378
.382
.392
.394
.420
.428
.433
.439</t>
      </text>
    </comment>
    <comment ref="AD16" authorId="163" shapeId="0" xr:uid="{7AFD2C74-985C-45EF-BC01-89C9A6EF9BB4}">
      <text>
        <t>[Threaded comment]
Your version of Excel allows you to read this threaded comment; however, any edits to it will get removed if the file is opened in a newer version of Excel. Learn more: https://go.microsoft.com/fwlink/?linkid=870924
Comment:
    .355
.579</t>
      </text>
    </comment>
    <comment ref="AE16" authorId="164" shapeId="0" xr:uid="{B27EA21D-005E-489D-918C-18C37841A300}">
      <text>
        <t>[Threaded comment]
Your version of Excel allows you to read this threaded comment; however, any edits to it will get removed if the file is opened in a newer version of Excel. Learn more: https://go.microsoft.com/fwlink/?linkid=870924
Comment:
    .376
.378
.382
.392
.394
.420
.428
.433
.439</t>
      </text>
    </comment>
    <comment ref="AF16" authorId="165" shapeId="0" xr:uid="{49DF1BA4-7F4C-4285-8947-2B8FB78006A5}">
      <text>
        <t>[Threaded comment]
Your version of Excel allows you to read this threaded comment; however, any edits to it will get removed if the file is opened in a newer version of Excel. Learn more: https://go.microsoft.com/fwlink/?linkid=870924
Comment:
    .22-.23</t>
      </text>
    </comment>
    <comment ref="AG16" authorId="166" shapeId="0" xr:uid="{75B90ADD-5519-4BE2-A13B-C3BEB2DAB116}">
      <text>
        <t>[Threaded comment]
Your version of Excel allows you to read this threaded comment; however, any edits to it will get removed if the file is opened in a newer version of Excel. Learn more: https://go.microsoft.com/fwlink/?linkid=870924
Comment:
    .27</t>
      </text>
    </comment>
    <comment ref="AS16" authorId="167" shapeId="0" xr:uid="{398DB35F-FB63-4C5F-8E37-463981410CAA}">
      <text>
        <t>[Threaded comment]
Your version of Excel allows you to read this threaded comment; however, any edits to it will get removed if the file is opened in a newer version of Excel. Learn more: https://go.microsoft.com/fwlink/?linkid=870924
Comment:
    Darts</t>
      </text>
    </comment>
    <comment ref="E17" authorId="168" shapeId="0" xr:uid="{4985B4A8-6D6A-47A5-BECB-25374B5AAD91}">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S17" authorId="169" shapeId="0" xr:uid="{E7DFCAEE-04AF-4B50-8990-1410C0BA0D4F}">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W17" authorId="170" shapeId="0" xr:uid="{E1BE09B1-AC1C-4953-AEB2-19EFF1E9C5BA}">
      <text>
        <t>[Threaded comment]
Your version of Excel allows you to read this threaded comment; however, any edits to it will get removed if the file is opened in a newer version of Excel. Learn more: https://go.microsoft.com/fwlink/?linkid=870924
Comment:
    .8</t>
      </text>
    </comment>
    <comment ref="AA17" authorId="171" shapeId="0" xr:uid="{B8BE2593-076F-4172-AA7F-401D29A9826F}">
      <text>
        <t>[Threaded comment]
Your version of Excel allows you to read this threaded comment; however, any edits to it will get removed if the file is opened in a newer version of Excel. Learn more: https://go.microsoft.com/fwlink/?linkid=870924
Comment:
    .8</t>
      </text>
    </comment>
    <comment ref="AB17" authorId="172" shapeId="0" xr:uid="{248C2095-7B90-4E38-B465-584096FF90F9}">
      <text>
        <t>[Threaded comment]
Your version of Excel allows you to read this threaded comment; however, any edits to it will get removed if the file is opened in a newer version of Excel. Learn more: https://go.microsoft.com/fwlink/?linkid=870924
Comment:
    .8</t>
      </text>
    </comment>
    <comment ref="AF17" authorId="173" shapeId="0" xr:uid="{003941D1-422C-4766-8B64-D8DFCE45BB18}">
      <text>
        <t>[Threaded comment]
Your version of Excel allows you to read this threaded comment; however, any edits to it will get removed if the file is opened in a newer version of Excel. Learn more: https://go.microsoft.com/fwlink/?linkid=870924
Comment:
    .35
Reply:
    Used to be Yes?</t>
      </text>
    </comment>
    <comment ref="AP17" authorId="174" shapeId="0" xr:uid="{61E83C3E-6605-46D7-8ECC-B7D26659021B}">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AS17" authorId="175" shapeId="0" xr:uid="{318E850A-2CD0-422A-A8AD-23F22B3964E7}">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S18" authorId="176" shapeId="0" xr:uid="{469C2275-CB2C-4AF7-981E-43CD62EE276E}">
      <text>
        <t>[Threaded comment]
Your version of Excel allows you to read this threaded comment; however, any edits to it will get removed if the file is opened in a newer version of Excel. Learn more: https://go.microsoft.com/fwlink/?linkid=870924
Comment:
    .11</t>
      </text>
    </comment>
    <comment ref="W18" authorId="177" shapeId="0" xr:uid="{45C36D6E-CD9B-450B-B594-1612A6491724}">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Y18" authorId="178" shapeId="0" xr:uid="{1DF50F32-BB75-4406-8517-33F069F27AE3}">
      <text>
        <t>[Threaded comment]
Your version of Excel allows you to read this threaded comment; however, any edits to it will get removed if the file is opened in a newer version of Excel. Learn more: https://go.microsoft.com/fwlink/?linkid=870924
Comment:
    .69</t>
      </text>
    </comment>
    <comment ref="Z18" authorId="179" shapeId="0" xr:uid="{98B68EEF-1345-4D6A-97FB-CC3448CC4156}">
      <text>
        <t>[Threaded comment]
Your version of Excel allows you to read this threaded comment; however, any edits to it will get removed if the file is opened in a newer version of Excel. Learn more: https://go.microsoft.com/fwlink/?linkid=870924
Comment:
    .69</t>
      </text>
    </comment>
    <comment ref="AA18" authorId="180" shapeId="0" xr:uid="{A2A4C727-1A69-40B7-895D-ABDDC0B20FD3}">
      <text>
        <t>[Threaded comment]
Your version of Excel allows you to read this threaded comment; however, any edits to it will get removed if the file is opened in a newer version of Excel. Learn more: https://go.microsoft.com/fwlink/?linkid=870924
Comment:
    .69</t>
      </text>
    </comment>
    <comment ref="AB18" authorId="181" shapeId="0" xr:uid="{360CAA70-AB88-44E2-9C0C-8BE52C25AFF8}">
      <text>
        <t>[Threaded comment]
Your version of Excel allows you to read this threaded comment; however, any edits to it will get removed if the file is opened in a newer version of Excel. Learn more: https://go.microsoft.com/fwlink/?linkid=870924
Comment:
    .100
.130
.142</t>
      </text>
    </comment>
    <comment ref="AC18" authorId="182" shapeId="0" xr:uid="{2D007222-672C-4305-BC16-CE894702B666}">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D18" authorId="183" shapeId="0" xr:uid="{40364362-F582-4B85-82DD-A2063CA474DF}">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E18" authorId="184" shapeId="0" xr:uid="{A5D13F9D-D46D-45C8-9D27-2A0DC855B2C9}">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F18" authorId="185" shapeId="0" xr:uid="{C89AEDBD-7470-42E8-8556-94E00FCBEC27}">
      <text>
        <t>[Threaded comment]
Your version of Excel allows you to read this threaded comment; however, any edits to it will get removed if the file is opened in a newer version of Excel. Learn more: https://go.microsoft.com/fwlink/?linkid=870924
Comment:
    .8</t>
      </text>
    </comment>
    <comment ref="AG18" authorId="186" shapeId="0" xr:uid="{1D457255-F775-4FB1-B5D1-4EAC03900033}">
      <text>
        <t>[Threaded comment]
Your version of Excel allows you to read this threaded comment; however, any edits to it will get removed if the file is opened in a newer version of Excel. Learn more: https://go.microsoft.com/fwlink/?linkid=870924
Comment:
    .8</t>
      </text>
    </comment>
    <comment ref="AS18" authorId="187" shapeId="0" xr:uid="{204744DE-122F-460C-BC9C-869CF9463F66}">
      <text>
        <t>[Threaded comment]
Your version of Excel allows you to read this threaded comment; however, any edits to it will get removed if the file is opened in a newer version of Excel. Learn more: https://go.microsoft.com/fwlink/?linkid=870924
Comment:
    Darts</t>
      </text>
    </comment>
    <comment ref="O19" authorId="188" shapeId="0" xr:uid="{19B0FC52-4C97-4501-B079-DB13F1255AA6}">
      <text>
        <t>[Threaded comment]
Your version of Excel allows you to read this threaded comment; however, any edits to it will get removed if the file is opened in a newer version of Excel. Learn more: https://go.microsoft.com/fwlink/?linkid=870924
Comment:
    Used to be ?
Then 1?</t>
      </text>
    </comment>
    <comment ref="S19" authorId="189" shapeId="0" xr:uid="{1A2B185C-474E-4EE3-8C76-6EB5BDADF343}">
      <text>
        <t>[Threaded comment]
Your version of Excel allows you to read this threaded comment; however, any edits to it will get removed if the file is opened in a newer version of Excel. Learn more: https://go.microsoft.com/fwlink/?linkid=870924
Comment:
    .16</t>
      </text>
    </comment>
    <comment ref="W19" authorId="190" shapeId="0" xr:uid="{84647485-0C7C-4EC9-A1AE-D05ADF8F035C}">
      <text>
        <t>[Threaded comment]
Your version of Excel allows you to read this threaded comment; however, any edits to it will get removed if the file is opened in a newer version of Excel. Learn more: https://go.microsoft.com/fwlink/?linkid=870924
Comment:
    .16</t>
      </text>
    </comment>
    <comment ref="Y19" authorId="191" shapeId="0" xr:uid="{27E1081C-01C0-4FEA-BC23-A81A31EC3949}">
      <text>
        <t>[Threaded comment]
Your version of Excel allows you to read this threaded comment; however, any edits to it will get removed if the file is opened in a newer version of Excel. Learn more: https://go.microsoft.com/fwlink/?linkid=870924
Comment:
    .52</t>
      </text>
    </comment>
    <comment ref="Z19" authorId="192" shapeId="0" xr:uid="{F68B5FA1-362A-4E54-A130-515D259B9711}">
      <text>
        <t>[Threaded comment]
Your version of Excel allows you to read this threaded comment; however, any edits to it will get removed if the file is opened in a newer version of Excel. Learn more: https://go.microsoft.com/fwlink/?linkid=870924
Comment:
    .52
Reply:
    I would say NO, since even the existence of the Dominant position was not proven (nor denied), but you first need to have a dominant position to be able to then abuse it.
Reply:
    Used to be No?</t>
      </text>
    </comment>
    <comment ref="AA19" authorId="193" shapeId="0" xr:uid="{2EC79503-17B2-4512-93E8-B465D93D0D0F}">
      <text>
        <t>[Threaded comment]
Your version of Excel allows you to read this threaded comment; however, any edits to it will get removed if the file is opened in a newer version of Excel. Learn more: https://go.microsoft.com/fwlink/?linkid=870924
Comment:
    .16
.52</t>
      </text>
    </comment>
    <comment ref="AB19" authorId="194" shapeId="0" xr:uid="{F2F14B71-C293-4393-A1B7-D416BE0126D0}">
      <text>
        <t>[Threaded comment]
Your version of Excel allows you to read this threaded comment; however, any edits to it will get removed if the file is opened in a newer version of Excel. Learn more: https://go.microsoft.com/fwlink/?linkid=870924
Comment:
    .52
Reply:
    Used to be No?</t>
      </text>
    </comment>
    <comment ref="AC19" authorId="195" shapeId="0" xr:uid="{831FC3AC-42FB-4B49-81A0-AE31D581F0B1}">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D19" authorId="196" shapeId="0" xr:uid="{26CDE2E1-E6B2-4E68-B548-386A7B7DE3FC}">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E19" authorId="197" shapeId="0" xr:uid="{880F786B-7EAF-4B1B-AAA0-4C9727DCF7D9}">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F19" authorId="198" shapeId="0" xr:uid="{D52D5ABB-72BE-4E7B-B352-DB7306D1F530}">
      <text>
        <t>[Threaded comment]
Your version of Excel allows you to read this threaded comment; however, any edits to it will get removed if the file is opened in a newer version of Excel. Learn more: https://go.microsoft.com/fwlink/?linkid=870924
Comment:
    .29
.69-.72
Reply:
    Used to be Yes?</t>
      </text>
    </comment>
    <comment ref="AG19" authorId="199" shapeId="0" xr:uid="{A8183F7A-99DE-4456-9758-47D48BD26E8D}">
      <text>
        <t>[Threaded comment]
Your version of Excel allows you to read this threaded comment; however, any edits to it will get removed if the file is opened in a newer version of Excel. Learn more: https://go.microsoft.com/fwlink/?linkid=870924
Comment:
    .16</t>
      </text>
    </comment>
    <comment ref="AS19" authorId="200" shapeId="0" xr:uid="{8FD64248-DCB3-4BDA-833E-B693415E727E}">
      <text>
        <t>[Threaded comment]
Your version of Excel allows you to read this threaded comment; however, any edits to it will get removed if the file is opened in a newer version of Excel. Learn more: https://go.microsoft.com/fwlink/?linkid=870924
Comment:
    Darts</t>
      </text>
    </comment>
    <comment ref="S20" authorId="201" shapeId="0" xr:uid="{AFFC4ED9-F850-49A7-BF3B-0FA9019461FB}">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W20" authorId="202" shapeId="0" xr:uid="{056420F8-0F73-4671-90DD-C0A9466FC70A}">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Y20" authorId="203" shapeId="0" xr:uid="{500B0444-6357-4A8E-B404-BE0E5759F1BA}">
      <text>
        <t>[Threaded comment]
Your version of Excel allows you to read this threaded comment; however, any edits to it will get removed if the file is opened in a newer version of Excel. Learn more: https://go.microsoft.com/fwlink/?linkid=870924
Comment:
    Seite 46, a).</t>
      </text>
    </comment>
    <comment ref="Z20" authorId="204" shapeId="0" xr:uid="{16206882-9058-462A-9286-F3D146ABBB98}">
      <text>
        <t>[Threaded comment]
Your version of Excel allows you to read this threaded comment; however, any edits to it will get removed if the file is opened in a newer version of Excel. Learn more: https://go.microsoft.com/fwlink/?linkid=870924
Comment:
    Seite 54, (3).</t>
      </text>
    </comment>
    <comment ref="AA20" authorId="205" shapeId="0" xr:uid="{BD9E6925-7137-43CB-A15C-5B22E1DBC353}">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B20" authorId="206" shapeId="0" xr:uid="{0084B767-6D12-4D47-AC9D-3F7DD83562B5}">
      <text>
        <t>[Threaded comment]
Your version of Excel allows you to read this threaded comment; however, any edits to it will get removed if the file is opened in a newer version of Excel. Learn more: https://go.microsoft.com/fwlink/?linkid=870924
Comment:
    Seite 46, b).</t>
      </text>
    </comment>
    <comment ref="AC20" authorId="207" shapeId="0" xr:uid="{0D18337C-0FFA-464F-B30B-E3260AA6B2CB}">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F20" authorId="208" shapeId="0" xr:uid="{E9CA1FDF-8E5D-40ED-AED0-6F4305073905}">
      <text>
        <t>[Threaded comment]
Your version of Excel allows you to read this threaded comment; however, any edits to it will get removed if the file is opened in a newer version of Excel. Learn more: https://go.microsoft.com/fwlink/?linkid=870924
Comment:
    Seite 5.
Seite 6.</t>
      </text>
    </comment>
    <comment ref="AG20" authorId="209" shapeId="0" xr:uid="{AAA54E2F-A932-418E-9B92-8982AECBE12F}">
      <text>
        <t>[Threaded comment]
Your version of Excel allows you to read this threaded comment; however, any edits to it will get removed if the file is opened in a newer version of Excel. Learn more: https://go.microsoft.com/fwlink/?linkid=870924
Comment:
    Seite 56. e).
v
Seite 10.</t>
      </text>
    </comment>
    <comment ref="S21" authorId="210" shapeId="0" xr:uid="{979429CB-32CD-476B-88C3-73579DB49340}">
      <text>
        <t>[Threaded comment]
Your version of Excel allows you to read this threaded comment; however, any edits to it will get removed if the file is opened in a newer version of Excel. Learn more: https://go.microsoft.com/fwlink/?linkid=870924
Comment:
    Seite 5.</t>
      </text>
    </comment>
    <comment ref="W21" authorId="211" shapeId="0" xr:uid="{C9662E87-C039-4892-B7A1-2859C8C40AF8}">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Y21" authorId="212" shapeId="0" xr:uid="{7FF25ACD-A27B-47C6-952D-3980AA430214}">
      <text>
        <t>[Threaded comment]
Your version of Excel allows you to read this threaded comment; however, any edits to it will get removed if the file is opened in a newer version of Excel. Learn more: https://go.microsoft.com/fwlink/?linkid=870924
Comment:
    Seite 23, 1. a).</t>
      </text>
    </comment>
    <comment ref="AA21" authorId="213" shapeId="0" xr:uid="{A581C339-6362-4FCE-82E7-B32D87DF082A}">
      <text>
        <t>[Threaded comment]
Your version of Excel allows you to read this threaded comment; however, any edits to it will get removed if the file is opened in a newer version of Excel. Learn more: https://go.microsoft.com/fwlink/?linkid=870924
Comment:
    Seite 25, a).</t>
      </text>
    </comment>
    <comment ref="AB21" authorId="214" shapeId="0" xr:uid="{A8E7AD45-6AA7-4984-B9CA-3E5965C483DE}">
      <text>
        <t>[Threaded comment]
Your version of Excel allows you to read this threaded comment; however, any edits to it will get removed if the file is opened in a newer version of Excel. Learn more: https://go.microsoft.com/fwlink/?linkid=870924
Comment:
    Seite 25, a).</t>
      </text>
    </comment>
    <comment ref="AC21" authorId="215" shapeId="0" xr:uid="{B4B34F8F-2CDB-45F7-BD8F-02D87C60FD00}">
      <text>
        <t>[Threaded comment]
Your version of Excel allows you to read this threaded comment; however, any edits to it will get removed if the file is opened in a newer version of Excel. Learn more: https://go.microsoft.com/fwlink/?linkid=870924
Comment:
    Seite 25, 2.
Seite 26, b).
Seite 26, c).</t>
      </text>
    </comment>
    <comment ref="AD21" authorId="216" shapeId="0" xr:uid="{E766B142-2AB6-4012-A9FF-F6EEA753AF16}">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E21" authorId="217" shapeId="0" xr:uid="{6DB0AABA-7550-408A-99E6-E5322A88B66C}">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G21" authorId="218" shapeId="0" xr:uid="{ACFEB4D1-F148-4F9C-8B60-7B1E5C9BFB9C}">
      <text>
        <t>[Threaded comment]
Your version of Excel allows you to read this threaded comment; however, any edits to it will get removed if the file is opened in a newer version of Excel. Learn more: https://go.microsoft.com/fwlink/?linkid=870924
Comment:
    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Reply:
    Used to be Yes?</t>
      </text>
    </comment>
    <comment ref="AN21" authorId="219" shapeId="0" xr:uid="{C2541FC7-0F22-483E-8AD9-B3F8EE01E0B7}">
      <text>
        <t>[Threaded comment]
Your version of Excel allows you to read this threaded comment; however, any edits to it will get removed if the file is opened in a newer version of Excel. Learn more: https://go.microsoft.com/fwlink/?linkid=870924
Comment:
    No winner</t>
      </text>
    </comment>
    <comment ref="AS21" authorId="220" shapeId="0" xr:uid="{9397DA02-1AC6-4D80-A6C7-766CBAB89214}">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S22" authorId="221" shapeId="0" xr:uid="{877167BD-7CAC-41EF-BB89-69DB66A58323}">
      <text>
        <t>[Threaded comment]
Your version of Excel allows you to read this threaded comment; however, any edits to it will get removed if the file is opened in a newer version of Excel. Learn more: https://go.microsoft.com/fwlink/?linkid=870924
Comment:
    6.</t>
      </text>
    </comment>
    <comment ref="W22" authorId="222" shapeId="0" xr:uid="{E23B6A74-E6BD-4001-8F60-187DBC3541E6}">
      <text>
        <t>[Threaded comment]
Your version of Excel allows you to read this threaded comment; however, any edits to it will get removed if the file is opened in a newer version of Excel. Learn more: https://go.microsoft.com/fwlink/?linkid=870924
Comment:
    6.</t>
      </text>
    </comment>
    <comment ref="Y22" authorId="223" shapeId="0" xr:uid="{8581FFEA-FDE5-488C-8EC6-E165493C91B8}">
      <text>
        <t>[Threaded comment]
Your version of Excel allows you to read this threaded comment; however, any edits to it will get removed if the file is opened in a newer version of Excel. Learn more: https://go.microsoft.com/fwlink/?linkid=870924
Comment:
    .82</t>
      </text>
    </comment>
    <comment ref="Z22" authorId="224" shapeId="0" xr:uid="{2DB563DE-5EBF-468E-8F2B-DACE4EF34415}">
      <text>
        <t>[Threaded comment]
Your version of Excel allows you to read this threaded comment; however, any edits to it will get removed if the file is opened in a newer version of Excel. Learn more: https://go.microsoft.com/fwlink/?linkid=870924
Comment:
    .82</t>
      </text>
    </comment>
    <comment ref="AA22" authorId="225" shapeId="0" xr:uid="{F19DDAA2-F68E-4E96-A256-0B286B89A4C1}">
      <text>
        <t>[Threaded comment]
Your version of Excel allows you to read this threaded comment; however, any edits to it will get removed if the file is opened in a newer version of Excel. Learn more: https://go.microsoft.com/fwlink/?linkid=870924
Comment:
    .6
v
.82</t>
      </text>
    </comment>
    <comment ref="AB22" authorId="226" shapeId="0" xr:uid="{A69AE4A1-8D75-4949-A118-7AD497CC5C91}">
      <text>
        <t>[Threaded comment]
Your version of Excel allows you to read this threaded comment; however, any edits to it will get removed if the file is opened in a newer version of Excel. Learn more: https://go.microsoft.com/fwlink/?linkid=870924
Comment:
    .87-.89</t>
      </text>
    </comment>
    <comment ref="AC22" authorId="227" shapeId="0" xr:uid="{08E9E524-0671-41BA-A32E-9C5A81270E17}">
      <text>
        <t>[Threaded comment]
Your version of Excel allows you to read this threaded comment; however, any edits to it will get removed if the file is opened in a newer version of Excel. Learn more: https://go.microsoft.com/fwlink/?linkid=870924
Comment:
    .82
.84
.85</t>
      </text>
    </comment>
    <comment ref="AD22" authorId="228" shapeId="0" xr:uid="{92C5D694-A3EB-4B91-AA09-6BAC4515540E}">
      <text>
        <t>[Threaded comment]
Your version of Excel allows you to read this threaded comment; however, any edits to it will get removed if the file is opened in a newer version of Excel. Learn more: https://go.microsoft.com/fwlink/?linkid=870924
Comment:
    .82
.84
.85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E22" authorId="229" shapeId="0" xr:uid="{75219E69-C385-4D12-BA9B-16893FFDDE2B}">
      <text>
        <t>[Threaded comment]
Your version of Excel allows you to read this threaded comment; however, any edits to it will get removed if the file is opened in a newer version of Excel. Learn more: https://go.microsoft.com/fwlink/?linkid=870924
Comment:
    .82
.84
.85</t>
      </text>
    </comment>
    <comment ref="AG22" authorId="230" shapeId="0" xr:uid="{6972D247-600A-40C0-8737-03AB375E7B7B}">
      <text>
        <t>[Threaded comment]
Your version of Excel allows you to read this threaded comment; however, any edits to it will get removed if the file is opened in a newer version of Excel. Learn more: https://go.microsoft.com/fwlink/?linkid=870924
Comment:
    .2
.6
.88</t>
      </text>
    </comment>
    <comment ref="AP22" authorId="231" shapeId="0" xr:uid="{437A1A92-38E7-4342-9366-8B2B575626D5}">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22" authorId="232" shapeId="0" xr:uid="{0C0AFF04-7244-41B6-80CC-9DF7B7FEBA2C}">
      <text>
        <t>[Threaded comment]
Your version of Excel allows you to read this threaded comment; however, any edits to it will get removed if the file is opened in a newer version of Excel. Learn more: https://go.microsoft.com/fwlink/?linkid=870924
Comment:
    Darts</t>
      </text>
    </comment>
    <comment ref="S23" authorId="233" shapeId="0" xr:uid="{1DC3EFA3-7094-4225-B29C-DE5C1CF004CF}">
      <text>
        <t>[Threaded comment]
Your version of Excel allows you to read this threaded comment; however, any edits to it will get removed if the file is opened in a newer version of Excel. Learn more: https://go.microsoft.com/fwlink/?linkid=870924
Comment:
    .6</t>
      </text>
    </comment>
    <comment ref="W23" authorId="234" shapeId="0" xr:uid="{CBC9E5F6-4610-4832-9AF5-2F1B3DE16937}">
      <text>
        <t>[Threaded comment]
Your version of Excel allows you to read this threaded comment; however, any edits to it will get removed if the file is opened in a newer version of Excel. Learn more: https://go.microsoft.com/fwlink/?linkid=870924
Comment:
    6.</t>
      </text>
    </comment>
    <comment ref="Y23" authorId="235" shapeId="0" xr:uid="{DB35E198-40AE-431D-B6E8-AF5113E67E10}">
      <text>
        <t>[Threaded comment]
Your version of Excel allows you to read this threaded comment; however, any edits to it will get removed if the file is opened in a newer version of Excel. Learn more: https://go.microsoft.com/fwlink/?linkid=870924
Comment:
    .115</t>
      </text>
    </comment>
    <comment ref="Z23" authorId="236" shapeId="0" xr:uid="{1C9D4FA8-D5BD-4C90-94C5-909565ACAA56}">
      <text>
        <t>[Threaded comment]
Your version of Excel allows you to read this threaded comment; however, any edits to it will get removed if the file is opened in a newer version of Excel. Learn more: https://go.microsoft.com/fwlink/?linkid=870924
Comment:
    .115</t>
      </text>
    </comment>
    <comment ref="AA23" authorId="237" shapeId="0" xr:uid="{BEB14303-BCE4-4B41-95FD-7496B98A4645}">
      <text>
        <t>[Threaded comment]
Your version of Excel allows you to read this threaded comment; however, any edits to it will get removed if the file is opened in a newer version of Excel. Learn more: https://go.microsoft.com/fwlink/?linkid=870924
Comment:
    .6
v
.115</t>
      </text>
    </comment>
    <comment ref="AB23" authorId="238" shapeId="0" xr:uid="{7DAF97B0-4092-4A36-8165-AC13B039CEBB}">
      <text>
        <t>[Threaded comment]
Your version of Excel allows you to read this threaded comment; however, any edits to it will get removed if the file is opened in a newer version of Excel. Learn more: https://go.microsoft.com/fwlink/?linkid=870924
Comment:
    .120-.121</t>
      </text>
    </comment>
    <comment ref="AC23" authorId="239" shapeId="0" xr:uid="{63CC0C4E-8748-4E92-B088-5B26C1920853}">
      <text>
        <t>[Threaded comment]
Your version of Excel allows you to read this threaded comment; however, any edits to it will get removed if the file is opened in a newer version of Excel. Learn more: https://go.microsoft.com/fwlink/?linkid=870924
Comment:
    .115
.117
.118</t>
      </text>
    </comment>
    <comment ref="AD23" authorId="240" shapeId="0" xr:uid="{BC5C6EC1-9F5D-46BE-B23B-58F726995896}">
      <text>
        <t>[Threaded comment]
Your version of Excel allows you to read this threaded comment; however, any edits to it will get removed if the file is opened in a newer version of Excel. Learn more: https://go.microsoft.com/fwlink/?linkid=870924
Comment:
    .115
.117
.118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E23" authorId="241" shapeId="0" xr:uid="{7019CFC9-E6B4-45EE-8823-67B69E3C31B7}">
      <text>
        <t>[Threaded comment]
Your version of Excel allows you to read this threaded comment; however, any edits to it will get removed if the file is opened in a newer version of Excel. Learn more: https://go.microsoft.com/fwlink/?linkid=870924
Comment:
    .115
.117
.118</t>
      </text>
    </comment>
    <comment ref="AG23" authorId="242" shapeId="0" xr:uid="{B16CBB56-9A44-44B8-A9F9-2A1AF47C0AB3}">
      <text>
        <t>[Threaded comment]
Your version of Excel allows you to read this threaded comment; however, any edits to it will get removed if the file is opened in a newer version of Excel. Learn more: https://go.microsoft.com/fwlink/?linkid=870924
Comment:
    .2
.6
.121</t>
      </text>
    </comment>
    <comment ref="S24" authorId="243" shapeId="0" xr:uid="{BF02811B-B8B9-4F5F-8F82-4625DD156433}">
      <text>
        <t>[Threaded comment]
Your version of Excel allows you to read this threaded comment; however, any edits to it will get removed if the file is opened in a newer version of Excel. Learn more: https://go.microsoft.com/fwlink/?linkid=870924
Comment:
    Seite 5.</t>
      </text>
    </comment>
    <comment ref="W24" authorId="244" shapeId="0" xr:uid="{F2A8F871-1FF8-4FE7-8E7D-E4566BF8D3ED}">
      <text>
        <t>[Threaded comment]
Your version of Excel allows you to read this threaded comment; however, any edits to it will get removed if the file is opened in a newer version of Excel. Learn more: https://go.microsoft.com/fwlink/?linkid=870924
Comment:
    Seite 5.</t>
      </text>
    </comment>
    <comment ref="Y24" authorId="245" shapeId="0" xr:uid="{08678D9E-B56F-45CB-816F-F0CE907B80DB}">
      <text>
        <t>[Threaded comment]
Your version of Excel allows you to read this threaded comment; however, any edits to it will get removed if the file is opened in a newer version of Excel. Learn more: https://go.microsoft.com/fwlink/?linkid=870924
Comment:
    Seite 19, 1.</t>
      </text>
    </comment>
    <comment ref="Z24" authorId="246" shapeId="0" xr:uid="{B27D5B05-884A-425B-B2D8-DBB496F6FF65}">
      <text>
        <t>[Threaded comment]
Your version of Excel allows you to read this threaded comment; however, any edits to it will get removed if the file is opened in a newer version of Excel. Learn more: https://go.microsoft.com/fwlink/?linkid=870924
Comment:
    Seite 19, 2.
Reply:
    Used to be Yes?</t>
      </text>
    </comment>
    <comment ref="AA24" authorId="247" shapeId="0" xr:uid="{B466C1B6-420E-43CD-A903-715CFED0B505}">
      <text>
        <t xml:space="preserve">[Threaded comment]
Your version of Excel allows you to read this threaded comment; however, any edits to it will get removed if the file is opened in a newer version of Excel. Learn more: https://go.microsoft.com/fwlink/?linkid=870924
Comment:
    Seite 25.
Reply:
    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
      </text>
    </comment>
    <comment ref="AB24" authorId="248" shapeId="0" xr:uid="{A52E4642-6F92-4FDF-B713-D302DD51685D}">
      <text>
        <t>[Threaded comment]
Your version of Excel allows you to read this threaded comment; however, any edits to it will get removed if the file is opened in a newer version of Excel. Learn more: https://go.microsoft.com/fwlink/?linkid=870924
Comment:
    Seite 24, bb).
Seite 25</t>
      </text>
    </comment>
    <comment ref="AC24" authorId="249" shapeId="0" xr:uid="{37899348-D9BC-411F-891A-F0A5B1B40C14}">
      <text>
        <t xml:space="preserve">[Threaded comment]
Your version of Excel allows you to read this threaded comment; however, any edits to it will get removed if the file is opened in a newer version of Excel. Learn more: https://go.microsoft.com/fwlink/?linkid=870924
Comment:
    No?
Seite 19, 2.
Reply:
    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D24" authorId="250" shapeId="0" xr:uid="{F8446CDB-710B-4AF1-BF54-4916C2B9DCA7}">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E24" authorId="251" shapeId="0" xr:uid="{04B44218-2295-4D08-8EAD-214D27630DFB}">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G24" authorId="252" shapeId="0" xr:uid="{81BA32FF-08AF-46DA-9724-E7573ED245C4}">
      <text>
        <t>[Threaded comment]
Your version of Excel allows you to read this threaded comment; however, any edits to it will get removed if the file is opened in a newer version of Excel. Learn more: https://go.microsoft.com/fwlink/?linkid=870924
Comment:
    Seite 4.
Seite 5.</t>
      </text>
    </comment>
    <comment ref="AS24" authorId="253" shapeId="0" xr:uid="{68322D8E-74BE-4B99-8122-C50EC680694E}">
      <text>
        <t>[Threaded comment]
Your version of Excel allows you to read this threaded comment; however, any edits to it will get removed if the file is opened in a newer version of Excel. Learn more: https://go.microsoft.com/fwlink/?linkid=870924
Comment:
    Darts</t>
      </text>
    </comment>
    <comment ref="D25" authorId="254" shapeId="0" xr:uid="{68F1E1F8-B1BE-4E30-9F9C-5DF5D229F2C8}">
      <text>
        <t>[Threaded comment]
Your version of Excel allows you to read this threaded comment; however, any edits to it will get removed if the file is opened in a newer version of Excel. Learn more: https://go.microsoft.com/fwlink/?linkid=870924
Comment:
    _Kather</t>
      </text>
    </comment>
    <comment ref="E25" authorId="255" shapeId="0" xr:uid="{2A0A09D6-74E4-4B75-9468-8D6CFC5AA9DB}">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S25" authorId="256" shapeId="0" xr:uid="{753E906D-DA6A-4715-BE87-B48D0658B120}">
      <text>
        <t>[Threaded comment]
Your version of Excel allows you to read this threaded comment; however, any edits to it will get removed if the file is opened in a newer version of Excel. Learn more: https://go.microsoft.com/fwlink/?linkid=870924
Comment:
    Seite 8.</t>
      </text>
    </comment>
    <comment ref="W25" authorId="257" shapeId="0" xr:uid="{ECE222F2-FEA0-4D09-BB87-6353FAE3F855}">
      <text>
        <t>[Threaded comment]
Your version of Excel allows you to read this threaded comment; however, any edits to it will get removed if the file is opened in a newer version of Excel. Learn more: https://go.microsoft.com/fwlink/?linkid=870924
Comment:
    Seite 8.</t>
      </text>
    </comment>
    <comment ref="Y25" authorId="258" shapeId="0" xr:uid="{97FFB6EF-A401-4E81-BF9B-16DF9C5CF5DB}">
      <text>
        <t>[Threaded comment]
Your version of Excel allows you to read this threaded comment; however, any edits to it will get removed if the file is opened in a newer version of Excel. Learn more: https://go.microsoft.com/fwlink/?linkid=870924
Comment:
    Seite 36,  B.
Seite 39, III.
Seite 43, 3.</t>
      </text>
    </comment>
    <comment ref="Z25" authorId="259" shapeId="0" xr:uid="{C80100D7-74F4-46F1-8CD7-F5BE556F0AAD}">
      <text>
        <t>[Threaded comment]
Your version of Excel allows you to read this threaded comment; however, any edits to it will get removed if the file is opened in a newer version of Excel. Learn more: https://go.microsoft.com/fwlink/?linkid=870924
Comment:
    Seite 36,  B.
Seite 39, III.</t>
      </text>
    </comment>
    <comment ref="AA25" authorId="260" shapeId="0" xr:uid="{97615FE6-6644-4A44-889E-E5734C339E89}">
      <text>
        <t>[Threaded comment]
Your version of Excel allows you to read this threaded comment; however, any edits to it will get removed if the file is opened in a newer version of Excel. Learn more: https://go.microsoft.com/fwlink/?linkid=870924
Comment:
    Seite 39, III.
Seite 39, III. 1.</t>
      </text>
    </comment>
    <comment ref="AB25" authorId="261" shapeId="0" xr:uid="{596AA57F-A0D1-453C-826B-B210F61BB233}">
      <text>
        <t>[Threaded comment]
Your version of Excel allows you to read this threaded comment; however, any edits to it will get removed if the file is opened in a newer version of Excel. Learn more: https://go.microsoft.com/fwlink/?linkid=870924
Comment:
    Seite 39, III.
Seite 40, 2.</t>
      </text>
    </comment>
    <comment ref="AC25" authorId="262" shapeId="0" xr:uid="{07935794-0C72-4175-B385-6F99CFA3C573}">
      <text>
        <t>[Threaded comment]
Your version of Excel allows you to read this threaded comment; however, any edits to it will get removed if the file is opened in a newer version of Excel. Learn more: https://go.microsoft.com/fwlink/?linkid=870924
Comment:
    Seite 36,  B.
Seite 39, III.
Seite 43, 3.
Seite 49, d).</t>
      </text>
    </comment>
    <comment ref="AD25" authorId="263" shapeId="0" xr:uid="{E9D4C900-9CD9-47DD-8602-4BD62D3FE493}">
      <text>
        <t>[Threaded comment]
Your version of Excel allows you to read this threaded comment; however, any edits to it will get removed if the file is opened in a newer version of Excel. Learn more: https://go.microsoft.com/fwlink/?linkid=870924
Comment:
    Seite 39, III.
Seite 39, III. 3.
Seite 49, d).
Reply:
    I found reasons for the content, but no mention of formal reasons to not treat is as a FRAND offer. Apparently the offer is not considered to be delayed.
Reply:
    Mention that the offer of the plaintiff does not meet the FRAND criteria, which makes me believe it is more of a Non-Formal rather than a Non-Substantial.
Reply:
    Used to be No?</t>
      </text>
    </comment>
    <comment ref="AE25" authorId="264" shapeId="0" xr:uid="{31C5E17B-C3EF-4E97-8F5D-E39FA746E084}">
      <text>
        <t>[Threaded comment]
Your version of Excel allows you to read this threaded comment; however, any edits to it will get removed if the file is opened in a newer version of Excel. Learn more: https://go.microsoft.com/fwlink/?linkid=870924
Comment:
    Seite 50-52.
Reply:
    Some mention of the criteria: Top-Down approach.
Apparently the fees are too high.
Reply:
    Used to be No?</t>
      </text>
    </comment>
    <comment ref="AG25" authorId="265" shapeId="0" xr:uid="{B115F07B-1A0A-4A56-B3EE-14BB59A9FDEA}">
      <text>
        <t>[Threaded comment]
Your version of Excel allows you to read this threaded comment; however, any edits to it will get removed if the file is opened in a newer version of Excel. Learn more: https://go.microsoft.com/fwlink/?linkid=870924
Comment:
    Seite 8.</t>
      </text>
    </comment>
    <comment ref="AS25" authorId="266" shapeId="0" xr:uid="{429854C5-7B0C-4B4B-A71B-14B4050D0F0B}">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E26" authorId="267" shapeId="0" xr:uid="{43666DED-7531-43D4-8AC6-6CF8906CB373}">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S26" authorId="268" shapeId="0" xr:uid="{2BE178FA-B8AF-46D3-A634-779DD04F17B8}">
      <text>
        <t>[Threaded comment]
Your version of Excel allows you to read this threaded comment; however, any edits to it will get removed if the file is opened in a newer version of Excel. Learn more: https://go.microsoft.com/fwlink/?linkid=870924
Comment:
    Seite 4, 1.
two dates for contacts
29.03.2016 
06.03.2018</t>
      </text>
    </comment>
    <comment ref="W26" authorId="269" shapeId="0" xr:uid="{F805A726-D6B7-4204-B780-CDE6696E6BB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Y26" authorId="270" shapeId="0" xr:uid="{6548FB9E-BDDE-446B-9DD5-C2081CA60D68}">
      <text>
        <t>[Threaded comment]
Your version of Excel allows you to read this threaded comment; however, any edits to it will get removed if the file is opened in a newer version of Excel. Learn more: https://go.microsoft.com/fwlink/?linkid=870924
Comment:
    Justus</t>
      </text>
    </comment>
    <comment ref="Z26" authorId="271" shapeId="0" xr:uid="{30F86032-25DB-44FD-BFC7-43E37815DED8}">
      <text>
        <t>[Threaded comment]
Your version of Excel allows you to read this threaded comment; however, any edits to it will get removed if the file is opened in a newer version of Excel. Learn more: https://go.microsoft.com/fwlink/?linkid=870924
Comment:
    Justus</t>
      </text>
    </comment>
    <comment ref="AA26" authorId="272" shapeId="0" xr:uid="{643659E2-4C6F-4DCE-A11A-65C6C5543C61}">
      <text>
        <t>[Threaded comment]
Your version of Excel allows you to read this threaded comment; however, any edits to it will get removed if the file is opened in a newer version of Excel. Learn more: https://go.microsoft.com/fwlink/?linkid=870924
Comment:
    Justus</t>
      </text>
    </comment>
    <comment ref="AB26" authorId="273" shapeId="0" xr:uid="{BC3021EB-84B2-4B2C-9E11-9BBE6E9852BA}">
      <text>
        <t>[Threaded comment]
Your version of Excel allows you to read this threaded comment; however, any edits to it will get removed if the file is opened in a newer version of Excel. Learn more: https://go.microsoft.com/fwlink/?linkid=870924
Comment:
    Justus</t>
      </text>
    </comment>
    <comment ref="AC26" authorId="274" shapeId="0" xr:uid="{28EE8380-3487-44F8-8201-A801300D3C24}">
      <text>
        <t>[Threaded comment]
Your version of Excel allows you to read this threaded comment; however, any edits to it will get removed if the file is opened in a newer version of Excel. Learn more: https://go.microsoft.com/fwlink/?linkid=870924
Comment:
    Justus</t>
      </text>
    </comment>
    <comment ref="AD26" authorId="275" shapeId="0" xr:uid="{F5F8CDD5-AED7-461E-AA64-7940E4653A28}">
      <text>
        <t>[Threaded comment]
Your version of Excel allows you to read this threaded comment; however, any edits to it will get removed if the file is opened in a newer version of Excel. Learn more: https://go.microsoft.com/fwlink/?linkid=870924
Comment:
    Justus</t>
      </text>
    </comment>
    <comment ref="AE26" authorId="276" shapeId="0" xr:uid="{0AF583BC-EB75-4ADB-9290-46A033ECE4FF}">
      <text>
        <t>[Threaded comment]
Your version of Excel allows you to read this threaded comment; however, any edits to it will get removed if the file is opened in a newer version of Excel. Learn more: https://go.microsoft.com/fwlink/?linkid=870924
Comment:
    Justus</t>
      </text>
    </comment>
    <comment ref="AF26" authorId="277" shapeId="0" xr:uid="{27933688-529F-4963-A2F6-1183B0514040}">
      <text>
        <t>[Threaded comment]
Your version of Excel allows you to read this threaded comment; however, any edits to it will get removed if the file is opened in a newer version of Excel. Learn more: https://go.microsoft.com/fwlink/?linkid=870924
Comment:
    Justus</t>
      </text>
    </comment>
    <comment ref="AG26" authorId="278" shapeId="0" xr:uid="{D17E918F-54F0-4A2F-950C-E49C751057EB}">
      <text>
        <t>[Threaded comment]
Your version of Excel allows you to read this threaded comment; however, any edits to it will get removed if the file is opened in a newer version of Excel. Learn more: https://go.microsoft.com/fwlink/?linkid=870924
Comment:
    Justus</t>
      </text>
    </comment>
    <comment ref="S27" authorId="279" shapeId="0" xr:uid="{70AE830D-9037-4E5A-9CBD-A0BF45D5A1A8}">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W27" authorId="280" shapeId="0" xr:uid="{E7462449-A2B1-43B4-A6C1-F01CFE2E8B45}">
      <text>
        <t>[Threaded comment]
Your version of Excel allows you to read this threaded comment; however, any edits to it will get removed if the file is opened in a newer version of Excel. Learn more: https://go.microsoft.com/fwlink/?linkid=870924
Comment:
    Seite 14.</t>
      </text>
    </comment>
    <comment ref="Y27" authorId="281" shapeId="0" xr:uid="{332B5C43-FCA3-4AF6-9803-E77C75835B63}">
      <text>
        <t>[Threaded comment]
Your version of Excel allows you to read this threaded comment; however, any edits to it will get removed if the file is opened in a newer version of Excel. Learn more: https://go.microsoft.com/fwlink/?linkid=870924
Comment:
    Seite 47, II.</t>
      </text>
    </comment>
    <comment ref="Z27" authorId="282" shapeId="0" xr:uid="{7C793561-349D-48EB-99BC-876ABD0CFAAA}">
      <text>
        <t>[Threaded comment]
Your version of Excel allows you to read this threaded comment; however, any edits to it will get removed if the file is opened in a newer version of Excel. Learn more: https://go.microsoft.com/fwlink/?linkid=870924
Comment:
    Seite 47, II.
Reply:
    I would say NO, since even the existence of the Dominant position was not proven (nor denied), but you first need to have a dominant position to be able to then abuse it.
Reply:
    Used to be No?</t>
      </text>
    </comment>
    <comment ref="AA27" authorId="283" shapeId="0" xr:uid="{E10BCF7F-90BE-4B32-839D-92C18BA57CDE}">
      <text>
        <t>[Threaded comment]
Your version of Excel allows you to read this threaded comment; however, any edits to it will get removed if the file is opened in a newer version of Excel. Learn more: https://go.microsoft.com/fwlink/?linkid=870924
Comment:
    Seite 47, II. 1.</t>
      </text>
    </comment>
    <comment ref="AB27" authorId="284" shapeId="0" xr:uid="{33FD4864-4026-44AB-800D-0A7060724B91}">
      <text>
        <t>[Threaded comment]
Your version of Excel allows you to read this threaded comment; however, any edits to it will get removed if the file is opened in a newer version of Excel. Learn more: https://go.microsoft.com/fwlink/?linkid=870924
Comment:
    Seite 47, II.</t>
      </text>
    </comment>
    <comment ref="AC27" authorId="285" shapeId="0" xr:uid="{B7101FB9-380A-40BD-B9B9-C3819D1BC23D}">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D27" authorId="286" shapeId="0" xr:uid="{72496DA0-D770-48F7-B134-3A2D20F18DF8}">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E27" authorId="287" shapeId="0" xr:uid="{8F601B0D-AD37-4508-9DD2-ACAE8C2E95DC}">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F27" authorId="288" shapeId="0" xr:uid="{FA452729-21F2-4D3F-9C9C-AC8D8066EC54}">
      <text>
        <t>[Threaded comment]
Your version of Excel allows you to read this threaded comment; however, any edits to it will get removed if the file is opened in a newer version of Excel. Learn more: https://go.microsoft.com/fwlink/?linkid=870924
Comment:
    Seite 15.</t>
      </text>
    </comment>
    <comment ref="AG27" authorId="289" shapeId="0" xr:uid="{79FE8500-6511-4BC3-B801-8D72D0A0619B}">
      <text>
        <t>[Threaded comment]
Your version of Excel allows you to read this threaded comment; however, any edits to it will get removed if the file is opened in a newer version of Excel. Learn more: https://go.microsoft.com/fwlink/?linkid=870924
Comment:
    Seite 7.
Seite 15.
Reply:
    Used to be Yes?</t>
      </text>
    </comment>
    <comment ref="AJ27" authorId="290" shapeId="0" xr:uid="{CB444B42-B704-41CC-B358-3C2998F1B36D}">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AS27" authorId="291" shapeId="0" xr:uid="{CD7BD07C-5F8C-4AD2-93C8-4A7F40C84374}">
      <text>
        <t>[Threaded comment]
Your version of Excel allows you to read this threaded comment; however, any edits to it will get removed if the file is opened in a newer version of Excel. Learn more: https://go.microsoft.com/fwlink/?linkid=870924
Comment:
    Darts</t>
      </text>
    </comment>
    <comment ref="N28" authorId="292" shapeId="0" xr:uid="{5DE5FFF7-4B4A-4F06-8FEE-D2EA893C3F86}">
      <text>
        <t>[Threaded comment]
Your version of Excel allows you to read this threaded comment; however, any edits to it will get removed if the file is opened in a newer version of Excel. Learn more: https://go.microsoft.com/fwlink/?linkid=870924
Comment:
    09.09.2021</t>
      </text>
    </comment>
    <comment ref="S28" authorId="293" shapeId="0" xr:uid="{DD313215-8F23-4B49-BB04-A9F01CFE46D5}">
      <text>
        <t>[Threaded comment]
Your version of Excel allows you to read this threaded comment; however, any edits to it will get removed if the file is opened in a newer version of Excel. Learn more: https://go.microsoft.com/fwlink/?linkid=870924
Comment:
    .113-.115</t>
      </text>
    </comment>
    <comment ref="W28" authorId="294" shapeId="0" xr:uid="{2C23597A-C1C3-4B8E-8BC7-5F2B10698D17}">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
Reply:
    15.
Mentions an offer from 25.10.2019.</t>
      </text>
    </comment>
    <comment ref="Y28" authorId="295" shapeId="0" xr:uid="{173AD7E3-37D9-4723-808B-4AFB294DB41A}">
      <text>
        <t>[Threaded comment]
Your version of Excel allows you to read this threaded comment; however, any edits to it will get removed if the file is opened in a newer version of Excel. Learn more: https://go.microsoft.com/fwlink/?linkid=870924
Comment:
    .109</t>
      </text>
    </comment>
    <comment ref="Z28" authorId="296" shapeId="0" xr:uid="{8BD9A6CB-D0DD-4195-8AC8-F5279250D84E}">
      <text>
        <t>[Threaded comment]
Your version of Excel allows you to read this threaded comment; however, any edits to it will get removed if the file is opened in a newer version of Excel. Learn more: https://go.microsoft.com/fwlink/?linkid=870924
Comment:
    .108
.109</t>
      </text>
    </comment>
    <comment ref="AA28" authorId="297" shapeId="0" xr:uid="{B3C0DF3B-BBD5-45DD-A8D1-D4AD34BDB990}">
      <text>
        <t>[Threaded comment]
Your version of Excel allows you to read this threaded comment; however, any edits to it will get removed if the file is opened in a newer version of Excel. Learn more: https://go.microsoft.com/fwlink/?linkid=870924
Comment:
    .113-.115
.120</t>
      </text>
    </comment>
    <comment ref="AB28" authorId="298" shapeId="0" xr:uid="{AA68C7F0-E46C-476C-9045-C2D561D11488}">
      <text>
        <t>[Threaded comment]
Your version of Excel allows you to read this threaded comment; however, any edits to it will get removed if the file is opened in a newer version of Excel. Learn more: https://go.microsoft.com/fwlink/?linkid=870924
Comment:
    .93
.122
.126
.129
.133
.147
.158</t>
      </text>
    </comment>
    <comment ref="AC28" authorId="299" shapeId="0" xr:uid="{26189A36-12CF-40B8-833B-EE9BD884D1ED}">
      <text>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text>
    </comment>
    <comment ref="AD28" authorId="300" shapeId="0" xr:uid="{6EA72CE3-6593-4A47-9042-2E4319A3D811}">
      <text>
        <t>[Threaded comment]
Your version of Excel allows you to read this threaded comment; however, any edits to it will get removed if the file is opened in a newer version of Excel. Learn more: https://go.microsoft.com/fwlink/?linkid=870924
Comment:
    .123</t>
      </text>
    </comment>
    <comment ref="AE28" authorId="301" shapeId="0" xr:uid="{0922E0C7-44B8-4FB6-98F8-32EFC834B933}">
      <text>
        <t>[Threaded comment]
Your version of Excel allows you to read this threaded comment; however, any edits to it will get removed if the file is opened in a newer version of Excel. Learn more: https://go.microsoft.com/fwlink/?linkid=870924
Comment:
    .123</t>
      </text>
    </comment>
    <comment ref="AG28" authorId="302" shapeId="0" xr:uid="{BA9EDA50-01A9-4C3C-B886-E8F68DF74FEF}">
      <text>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text>
    </comment>
    <comment ref="AP28" authorId="303" shapeId="0" xr:uid="{8C2034B7-AD78-48EE-9321-8DC291F96A6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AS28" authorId="304" shapeId="0" xr:uid="{C95E86EF-7415-4AB0-8E64-E742A29AF738}">
      <text>
        <t>[Threaded comment]
Your version of Excel allows you to read this threaded comment; however, any edits to it will get removed if the file is opened in a newer version of Excel. Learn more: https://go.microsoft.com/fwlink/?linkid=870924
Comment:
    Darts</t>
      </text>
    </comment>
    <comment ref="Y29" authorId="305" shapeId="0" xr:uid="{761A5474-9529-4236-8FCE-08CECFEA3CB2}">
      <text>
        <t>[Threaded comment]
Your version of Excel allows you to read this threaded comment; however, any edits to it will get removed if the file is opened in a newer version of Excel. Learn more: https://go.microsoft.com/fwlink/?linkid=870924
Comment:
    Page 7, B.</t>
      </text>
    </comment>
    <comment ref="Z29" authorId="306" shapeId="0" xr:uid="{604B89DE-D753-46CA-B15A-EFBB343C1CA8}">
      <text>
        <t>[Threaded comment]
Your version of Excel allows you to read this threaded comment; however, any edits to it will get removed if the file is opened in a newer version of Excel. Learn more: https://go.microsoft.com/fwlink/?linkid=870924
Comment:
    Page 7, B.
Page 8, II.</t>
      </text>
    </comment>
    <comment ref="AA29" authorId="307" shapeId="0" xr:uid="{4E83A58E-4D09-43D6-85CD-85E9F612A6BF}">
      <text>
        <t>[Threaded comment]
Your version of Excel allows you to read this threaded comment; however, any edits to it will get removed if the file is opened in a newer version of Excel. Learn more: https://go.microsoft.com/fwlink/?linkid=870924
Comment:
    Page 7, B.</t>
      </text>
    </comment>
    <comment ref="AB29" authorId="308" shapeId="0" xr:uid="{C5F91382-A51D-48B9-88F4-AA5F43346683}">
      <text>
        <t>[Threaded comment]
Your version of Excel allows you to read this threaded comment; however, any edits to it will get removed if the file is opened in a newer version of Excel. Learn more: https://go.microsoft.com/fwlink/?linkid=870924
Comment:
    Page 7, B.
Page 8, II.
Page 11, 2.</t>
      </text>
    </comment>
    <comment ref="AG29" authorId="309" shapeId="0" xr:uid="{50F8D0FE-530F-4418-8D6E-42E6CA49A793}">
      <text>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text>
    </comment>
    <comment ref="AJ29" authorId="310" shapeId="0" xr:uid="{0C85D065-B681-4CB4-9BD0-4663A42F9A51}">
      <text>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text>
    </comment>
    <comment ref="AS29" authorId="311" shapeId="0" xr:uid="{05DC0EA7-B36D-45E0-9648-332CDB72B5AB}">
      <text>
        <t>[Threaded comment]
Your version of Excel allows you to read this threaded comment; however, any edits to it will get removed if the file is opened in a newer version of Excel. Learn more: https://go.microsoft.com/fwlink/?linkid=870924
Comment:
    Darts</t>
      </text>
    </comment>
    <comment ref="E30" authorId="312" shapeId="0" xr:uid="{93FB65F1-A8AE-425C-A319-A07985C516A0}">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S30" authorId="313" shapeId="0" xr:uid="{5C3C4CB6-8457-4DD2-AAC6-3CCDF6053A4F}">
      <text>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t>
      </text>
    </comment>
    <comment ref="W30" authorId="314" shapeId="0" xr:uid="{F8457BBB-0BAE-41FA-BA0A-A9848E7C8FE2}">
      <text>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
The date of the E-mail offer is REDACTED, but it is mentioned following the contact of November  from 2013.</t>
      </text>
    </comment>
    <comment ref="Y30" authorId="315" shapeId="0" xr:uid="{7C342666-B26B-403C-9977-CBBED95EBDF2}">
      <text>
        <t>[Threaded comment]
Your version of Excel allows you to read this threaded comment; however, any edits to it will get removed if the file is opened in a newer version of Excel. Learn more: https://go.microsoft.com/fwlink/?linkid=870924
Comment:
    Seite 23, 1.</t>
      </text>
    </comment>
    <comment ref="Z30" authorId="316" shapeId="0" xr:uid="{705FF9C5-01E1-4547-8F24-431292BB224A}">
      <text>
        <t>[Threaded comment]
Your version of Excel allows you to read this threaded comment; however, any edits to it will get removed if the file is opened in a newer version of Excel. Learn more: https://go.microsoft.com/fwlink/?linkid=870924
Comment:
    Seite 23, 2.</t>
      </text>
    </comment>
    <comment ref="AA30" authorId="317" shapeId="0" xr:uid="{5F39CE75-7B02-4C59-8B87-A6FA5F129528}">
      <text>
        <t>[Threaded comment]
Your version of Excel allows you to read this threaded comment; however, any edits to it will get removed if the file is opened in a newer version of Excel. Learn more: https://go.microsoft.com/fwlink/?linkid=870924
Comment:
    Seite 26, aa)</t>
      </text>
    </comment>
    <comment ref="AB30" authorId="318" shapeId="0" xr:uid="{E9EA7940-9E67-4AD4-906F-2218E7397FCF}">
      <text>
        <t>[Threaded comment]
Your version of Excel allows you to read this threaded comment; however, any edits to it will get removed if the file is opened in a newer version of Excel. Learn more: https://go.microsoft.com/fwlink/?linkid=870924
Comment:
    Seite 28, cc)</t>
      </text>
    </comment>
    <comment ref="AC30" authorId="319" shapeId="0" xr:uid="{BFD397D0-4817-4B00-B656-9A5B7DDA32ED}">
      <text>
        <t>[Threaded comment]
Your version of Excel allows you to read this threaded comment; however, any edits to it will get removed if the file is opened in a newer version of Excel. Learn more: https://go.microsoft.com/fwlink/?linkid=870924
Comment:
    Seite 23, 2.
Seite 24, aa)
Seite 26, aa)
Seite 28, cc)</t>
      </text>
    </comment>
    <comment ref="AD30" authorId="320" shapeId="0" xr:uid="{6C548694-67E3-4F4B-9AA6-A57D5BAC8D30}">
      <text>
        <t>[Threaded comment]
Your version of Excel allows you to read this threaded comment; however, any edits to it will get removed if the file is opened in a newer version of Excel. Learn more: https://go.microsoft.com/fwlink/?linkid=870924
Comment:
    Seite 26, aa)</t>
      </text>
    </comment>
    <comment ref="AE30" authorId="321" shapeId="0" xr:uid="{2C8AF8BB-BA7A-444C-970D-4D7DF9C9C981}">
      <text>
        <t>[Threaded comment]
Your version of Excel allows you to read this threaded comment; however, any edits to it will get removed if the file is opened in a newer version of Excel. Learn more: https://go.microsoft.com/fwlink/?linkid=870924
Comment:
    Seite 26, aa)</t>
      </text>
    </comment>
    <comment ref="AG30" authorId="322" shapeId="0" xr:uid="{FA804282-A67F-457E-A06E-528A15AFD57E}">
      <text>
        <t>[Threaded comment]
Your version of Excel allows you to read this threaded comment; however, any edits to it will get removed if the file is opened in a newer version of Excel. Learn more: https://go.microsoft.com/fwlink/?linkid=870924
Comment:
    Seite 3.
The plaintiff is a global company.</t>
      </text>
    </comment>
    <comment ref="AP30" authorId="323" shapeId="0" xr:uid="{B48BDD31-2C43-4771-9906-B5F0B06605A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E31" authorId="324" shapeId="0" xr:uid="{E0E7265F-6E13-4C37-8E24-DAD5F48A85B3}">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S31" authorId="325" shapeId="0" xr:uid="{3FEB7CB6-AA8F-4B82-BEE2-24326B9857F2}">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W31" authorId="326" shapeId="0" xr:uid="{078D766E-7C00-4E05-A9B9-E507CFF463E9}">
      <text>
        <t>[Threaded comment]
Your version of Excel allows you to read this threaded comment; however, any edits to it will get removed if the file is opened in a newer version of Excel. Learn more: https://go.microsoft.com/fwlink/?linkid=870924
Comment:
    .83</t>
      </text>
    </comment>
    <comment ref="Y31" authorId="327" shapeId="0" xr:uid="{3E7EA171-BAEF-4F1D-A449-22FCF0C01A33}">
      <text>
        <t>[Threaded comment]
Your version of Excel allows you to read this threaded comment; however, any edits to it will get removed if the file is opened in a newer version of Excel. Learn more: https://go.microsoft.com/fwlink/?linkid=870924
Comment:
    .186
.201
.242</t>
      </text>
    </comment>
    <comment ref="Z31" authorId="328" shapeId="0" xr:uid="{E8F3AC25-DE07-4181-81D3-533209D14AE2}">
      <text>
        <t>[Threaded comment]
Your version of Excel allows you to read this threaded comment; however, any edits to it will get removed if the file is opened in a newer version of Excel. Learn more: https://go.microsoft.com/fwlink/?linkid=870924
Comment:
    .186
.202
.206
.209</t>
      </text>
    </comment>
    <comment ref="AA31" authorId="329" shapeId="0" xr:uid="{E9E6F090-9304-4077-8A91-00E3C45AF2F8}">
      <text>
        <t>[Threaded comment]
Your version of Excel allows you to read this threaded comment; however, any edits to it will get removed if the file is opened in a newer version of Excel. Learn more: https://go.microsoft.com/fwlink/?linkid=870924
Comment:
    .207
v
.228
.239</t>
      </text>
    </comment>
    <comment ref="AB31" authorId="330" shapeId="0" xr:uid="{83FCE9E1-8B20-4F39-8AB2-5D9CDC528930}">
      <text>
        <t>[Threaded comment]
Your version of Excel allows you to read this threaded comment; however, any edits to it will get removed if the file is opened in a newer version of Excel. Learn more: https://go.microsoft.com/fwlink/?linkid=870924
Comment:
    .82
.186
v
.206
.243</t>
      </text>
    </comment>
    <comment ref="AC31" authorId="331" shapeId="0" xr:uid="{F062CCD5-47D6-4522-9E44-9D94A312866B}">
      <text>
        <t>[Threaded comment]
Your version of Excel allows you to read this threaded comment; however, any edits to it will get removed if the file is opened in a newer version of Excel. Learn more: https://go.microsoft.com/fwlink/?linkid=870924
Comment:
    .220
Reply:
    Used to be Yes?</t>
      </text>
    </comment>
    <comment ref="AD31" authorId="332" shapeId="0" xr:uid="{2A8CA73E-062F-479E-9DE7-D8821BD08BF0}">
      <text>
        <t>[Threaded comment]
Your version of Excel allows you to read this threaded comment; however, any edits to it will get removed if the file is opened in a newer version of Excel. Learn more: https://go.microsoft.com/fwlink/?linkid=870924
Comment:
    .207
v
.228
.239</t>
      </text>
    </comment>
    <comment ref="AE31" authorId="333" shapeId="0" xr:uid="{43934D66-E41E-417C-AB05-6A7052748D79}">
      <text>
        <t>[Threaded comment]
Your version of Excel allows you to read this threaded comment; however, any edits to it will get removed if the file is opened in a newer version of Excel. Learn more: https://go.microsoft.com/fwlink/?linkid=870924
Comment:
    .221
Reply:
    -
Justus</t>
      </text>
    </comment>
    <comment ref="AF31" authorId="334" shapeId="0" xr:uid="{42FA180C-70E4-4473-9F8D-72B8CB7CB8C5}">
      <text>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text>
    </comment>
    <comment ref="AG31" authorId="335" shapeId="0" xr:uid="{6DA23761-49B1-4700-AC58-419B4470BBC7}">
      <text>
        <t>[Threaded comment]
Your version of Excel allows you to read this threaded comment; however, any edits to it will get removed if the file is opened in a newer version of Excel. Learn more: https://go.microsoft.com/fwlink/?linkid=870924
Comment:
    .43
.58
.219-.220</t>
      </text>
    </comment>
    <comment ref="AJ31" authorId="336" shapeId="0" xr:uid="{12DF9E45-A378-45FB-938C-8110365ADDEB}">
      <text>
        <t>[Threaded comment]
Your version of Excel allows you to read this threaded comment; however, any edits to it will get removed if the file is opened in a newer version of Excel. Learn more: https://go.microsoft.com/fwlink/?linkid=870924
Comment:
    Apparently, there was no decision/outcome</t>
      </text>
    </comment>
    <comment ref="AS31" authorId="337" shapeId="0" xr:uid="{61FC6129-3ABA-4FD5-B632-C5F82DE3A30C}">
      <text>
        <t>[Threaded comment]
Your version of Excel allows you to read this threaded comment; however, any edits to it will get removed if the file is opened in a newer version of Excel. Learn more: https://go.microsoft.com/fwlink/?linkid=870924
Comment:
    Darts</t>
      </text>
    </comment>
    <comment ref="Y32" authorId="338" shapeId="0" xr:uid="{207B801F-31D0-4C9C-A086-4F820F9ADB07}">
      <text>
        <t>[Threaded comment]
Your version of Excel allows you to read this threaded comment; however, any edits to it will get removed if the file is opened in a newer version of Excel. Learn more: https://go.microsoft.com/fwlink/?linkid=870924
Comment:
    .108
.109</t>
      </text>
    </comment>
    <comment ref="Z32" authorId="339" shapeId="0" xr:uid="{FE31989E-86F2-4B00-A3A5-AA5EC650E1AA}">
      <text>
        <t>[Threaded comment]
Your version of Excel allows you to read this threaded comment; however, any edits to it will get removed if the file is opened in a newer version of Excel. Learn more: https://go.microsoft.com/fwlink/?linkid=870924
Comment:
    .109</t>
      </text>
    </comment>
    <comment ref="AA32" authorId="340" shapeId="0" xr:uid="{B7DA0F0B-E204-4444-BDF2-2C70E82FC777}">
      <text>
        <t>[Threaded comment]
Your version of Excel allows you to read this threaded comment; however, any edits to it will get removed if the file is opened in a newer version of Excel. Learn more: https://go.microsoft.com/fwlink/?linkid=870924
Comment:
    .109</t>
      </text>
    </comment>
    <comment ref="AB32" authorId="341" shapeId="0" xr:uid="{F58A42DF-7443-4C6A-9858-29EE53B6B800}">
      <text>
        <t>[Threaded comment]
Your version of Excel allows you to read this threaded comment; however, any edits to it will get removed if the file is opened in a newer version of Excel. Learn more: https://go.microsoft.com/fwlink/?linkid=870924
Comment:
    .109
.117
.135</t>
      </text>
    </comment>
    <comment ref="AC32" authorId="342" shapeId="0" xr:uid="{C6D4D238-7894-4FC5-AC68-EC20F12208A9}">
      <text>
        <t>[Threaded comment]
Your version of Excel allows you to read this threaded comment; however, any edits to it will get removed if the file is opened in a newer version of Excel. Learn more: https://go.microsoft.com/fwlink/?linkid=870924
Comment:
    .116</t>
      </text>
    </comment>
    <comment ref="AD32" authorId="343" shapeId="0" xr:uid="{2B2385BA-05F0-467B-AEBA-61F793465773}">
      <text>
        <t>[Threaded comment]
Your version of Excel allows you to read this threaded comment; however, any edits to it will get removed if the file is opened in a newer version of Excel. Learn more: https://go.microsoft.com/fwlink/?linkid=870924
Comment:
    .116</t>
      </text>
    </comment>
    <comment ref="AE32" authorId="344" shapeId="0" xr:uid="{ABEE2949-8A88-4147-AB12-24042AD914E3}">
      <text>
        <t>[Threaded comment]
Your version of Excel allows you to read this threaded comment; however, any edits to it will get removed if the file is opened in a newer version of Excel. Learn more: https://go.microsoft.com/fwlink/?linkid=870924
Comment:
    .116</t>
      </text>
    </comment>
    <comment ref="AG32" authorId="345" shapeId="0" xr:uid="{B2AABF7B-88DB-4638-9012-EBD94A99FC17}">
      <text>
        <t>[Threaded comment]
Your version of Excel allows you to read this threaded comment; however, any edits to it will get removed if the file is opened in a newer version of Excel. Learn more: https://go.microsoft.com/fwlink/?linkid=870924
Comment:
    .137
.3
Reply:
    Used to be Yes?</t>
      </text>
    </comment>
    <comment ref="AS32" authorId="346" shapeId="0" xr:uid="{3E07184D-52FF-435F-BCB2-5DF5F2174D65}">
      <text>
        <t>[Threaded comment]
Your version of Excel allows you to read this threaded comment; however, any edits to it will get removed if the file is opened in a newer version of Excel. Learn more: https://go.microsoft.com/fwlink/?linkid=870924
Comment:
    Darts</t>
      </text>
    </comment>
    <comment ref="S33" authorId="347" shapeId="0" xr:uid="{9D03BA9B-D146-4CB2-9142-BFE43E0CC808}">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W33" authorId="348" shapeId="0" xr:uid="{F49DDB79-A966-4B13-A2E9-514AD8DF682D}">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
Reply:
    Offers redacted.</t>
      </text>
    </comment>
    <comment ref="Y33" authorId="349" shapeId="0" xr:uid="{640A6F64-90E1-4530-AA21-817436122B5B}">
      <text>
        <t>[Threaded comment]
Your version of Excel allows you to read this threaded comment; however, any edits to it will get removed if the file is opened in a newer version of Excel. Learn more: https://go.microsoft.com/fwlink/?linkid=870924
Comment:
    .160</t>
      </text>
    </comment>
    <comment ref="Z33" authorId="350" shapeId="0" xr:uid="{FF28101F-2B3B-436A-AB9D-FDB5698B2840}">
      <text>
        <t>[Threaded comment]
Your version of Excel allows you to read this threaded comment; however, any edits to it will get removed if the file is opened in a newer version of Excel. Learn more: https://go.microsoft.com/fwlink/?linkid=870924
Comment:
    .160</t>
      </text>
    </comment>
    <comment ref="AA33" authorId="351" shapeId="0" xr:uid="{23DA45D0-CF7A-48BB-9C0C-CF1D00DB3FA2}">
      <text>
        <t>[Threaded comment]
Your version of Excel allows you to read this threaded comment; however, any edits to it will get removed if the file is opened in a newer version of Excel. Learn more: https://go.microsoft.com/fwlink/?linkid=870924
Comment:
    .160</t>
      </text>
    </comment>
    <comment ref="AB33" authorId="352" shapeId="0" xr:uid="{71588D51-8393-4AA4-B627-428465223A1D}">
      <text>
        <t>[Threaded comment]
Your version of Excel allows you to read this threaded comment; however, any edits to it will get removed if the file is opened in a newer version of Excel. Learn more: https://go.microsoft.com/fwlink/?linkid=870924
Comment:
    .159</t>
      </text>
    </comment>
    <comment ref="AC33" authorId="353" shapeId="0" xr:uid="{8EDC881C-30B7-402A-9934-E55795459E62}">
      <text>
        <t>[Threaded comment]
Your version of Excel allows you to read this threaded comment; however, any edits to it will get removed if the file is opened in a newer version of Excel. Learn more: https://go.microsoft.com/fwlink/?linkid=870924
Comment:
    .3
.168</t>
      </text>
    </comment>
    <comment ref="AD33" authorId="354" shapeId="0" xr:uid="{6E8A1B40-525C-4897-A93A-973BABA78DEF}">
      <text>
        <t>[Threaded comment]
Your version of Excel allows you to read this threaded comment; however, any edits to it will get removed if the file is opened in a newer version of Excel. Learn more: https://go.microsoft.com/fwlink/?linkid=870924
Comment:
    .3
.168</t>
      </text>
    </comment>
    <comment ref="AE33" authorId="355" shapeId="0" xr:uid="{A37EF9FE-58EE-4ADA-BF47-D93EA9A0ADCC}">
      <text>
        <t>[Threaded comment]
Your version of Excel allows you to read this threaded comment; however, any edits to it will get removed if the file is opened in a newer version of Excel. Learn more: https://go.microsoft.com/fwlink/?linkid=870924
Comment:
    .3
.168</t>
      </text>
    </comment>
    <comment ref="AS33" authorId="356" shapeId="0" xr:uid="{77A30FBC-0A3B-4BBA-A6DD-ECF5136311FB}">
      <text>
        <t>[Threaded comment]
Your version of Excel allows you to read this threaded comment; however, any edits to it will get removed if the file is opened in a newer version of Excel. Learn more: https://go.microsoft.com/fwlink/?linkid=870924
Comment:
    Darts</t>
      </text>
    </comment>
    <comment ref="S34" authorId="357" shapeId="0" xr:uid="{8C4E2F3A-CA43-4A10-87B0-5C1B364A8DB4}">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W34" authorId="358" shapeId="0" xr:uid="{B12636DA-3367-4E46-8000-165A158D426A}">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Y34" authorId="359" shapeId="0" xr:uid="{62525DBA-E842-4502-B0E7-2E7189929999}">
      <text>
        <t>[Threaded comment]
Your version of Excel allows you to read this threaded comment; however, any edits to it will get removed if the file is opened in a newer version of Excel. Learn more: https://go.microsoft.com/fwlink/?linkid=870924
Comment:
    .147</t>
      </text>
    </comment>
    <comment ref="Z34" authorId="360" shapeId="0" xr:uid="{279AE4AD-3F7B-4A94-806E-9DF7C16D6A21}">
      <text>
        <t>[Threaded comment]
Your version of Excel allows you to read this threaded comment; however, any edits to it will get removed if the file is opened in a newer version of Excel. Learn more: https://go.microsoft.com/fwlink/?linkid=870924
Comment:
    .148</t>
      </text>
    </comment>
    <comment ref="AA34" authorId="361" shapeId="0" xr:uid="{E8FE9379-E2FE-45CC-9EA5-6442610B6433}">
      <text>
        <t>[Threaded comment]
Your version of Excel allows you to read this threaded comment; however, any edits to it will get removed if the file is opened in a newer version of Excel. Learn more: https://go.microsoft.com/fwlink/?linkid=870924
Comment:
    .148</t>
      </text>
    </comment>
    <comment ref="AB34" authorId="362" shapeId="0" xr:uid="{F834FC62-3BF0-4620-990F-E2B3CCD68B81}">
      <text>
        <t>[Threaded comment]
Your version of Excel allows you to read this threaded comment; however, any edits to it will get removed if the file is opened in a newer version of Excel. Learn more: https://go.microsoft.com/fwlink/?linkid=870924
Comment:
    .147-.148</t>
      </text>
    </comment>
    <comment ref="AC34" authorId="363" shapeId="0" xr:uid="{3F317A96-995E-4F3C-B256-ED2E96047783}">
      <text>
        <t>[Threaded comment]
Your version of Excel allows you to read this threaded comment; however, any edits to it will get removed if the file is opened in a newer version of Excel. Learn more: https://go.microsoft.com/fwlink/?linkid=870924
Comment:
    .146</t>
      </text>
    </comment>
    <comment ref="AD34" authorId="364" shapeId="0" xr:uid="{94464D30-535B-446D-8906-A69FB659B6DD}">
      <text>
        <t>[Threaded comment]
Your version of Excel allows you to read this threaded comment; however, any edits to it will get removed if the file is opened in a newer version of Excel. Learn more: https://go.microsoft.com/fwlink/?linkid=870924
Comment:
    .146</t>
      </text>
    </comment>
    <comment ref="AE34" authorId="365" shapeId="0" xr:uid="{604015B3-3624-479F-9CE5-301B35A49D2B}">
      <text>
        <t>[Threaded comment]
Your version of Excel allows you to read this threaded comment; however, any edits to it will get removed if the file is opened in a newer version of Excel. Learn more: https://go.microsoft.com/fwlink/?linkid=870924
Comment:
    .146</t>
      </text>
    </comment>
    <comment ref="AF34" authorId="366" shapeId="0" xr:uid="{9FDED2AD-6E19-4714-B389-DEA910F87BD2}">
      <text>
        <t>[Threaded comment]
Your version of Excel allows you to read this threaded comment; however, any edits to it will get removed if the file is opened in a newer version of Excel. Learn more: https://go.microsoft.com/fwlink/?linkid=870924
Comment:
    .160</t>
      </text>
    </comment>
    <comment ref="AP34" authorId="367" shapeId="0" xr:uid="{384B7DEF-4C89-426B-8C29-FE5C8C48F961}">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AS34" authorId="368" shapeId="0" xr:uid="{717EAF44-80B1-48EB-AE36-32E62C95E609}">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35" authorId="369" shapeId="0" xr:uid="{65F36519-37F1-4B7C-8395-49F0E6D86C7E}">
      <text>
        <t>[Threaded comment]
Your version of Excel allows you to read this threaded comment; however, any edits to it will get removed if the file is opened in a newer version of Excel. Learn more: https://go.microsoft.com/fwlink/?linkid=870924
Comment:
    .99
.147</t>
      </text>
    </comment>
    <comment ref="W35" authorId="370" shapeId="0" xr:uid="{55AD3A0E-21EF-49E1-AF5F-F63F3F879281}">
      <text>
        <t>[Threaded comment]
Your version of Excel allows you to read this threaded comment; however, any edits to it will get removed if the file is opened in a newer version of Excel. Learn more: https://go.microsoft.com/fwlink/?linkid=870924
Comment:
    .99
.147</t>
      </text>
    </comment>
    <comment ref="Y35" authorId="371" shapeId="0" xr:uid="{683BD3A6-6578-457F-B03B-6EEFF5CF13AF}">
      <text>
        <t>[Threaded comment]
Your version of Excel allows you to read this threaded comment; however, any edits to it will get removed if the file is opened in a newer version of Excel. Learn more: https://go.microsoft.com/fwlink/?linkid=870924
Comment:
    .122
.128</t>
      </text>
    </comment>
    <comment ref="Z35" authorId="372" shapeId="0" xr:uid="{0C6CBC3A-0569-476D-A95C-151FDB78D92C}">
      <text>
        <t>[Threaded comment]
Your version of Excel allows you to read this threaded comment; however, any edits to it will get removed if the file is opened in a newer version of Excel. Learn more: https://go.microsoft.com/fwlink/?linkid=870924
Comment:
    .128</t>
      </text>
    </comment>
    <comment ref="AA35" authorId="373" shapeId="0" xr:uid="{4DAC637B-F74B-4518-BF22-3180F2DAD4F3}">
      <text>
        <t>[Threaded comment]
Your version of Excel allows you to read this threaded comment; however, any edits to it will get removed if the file is opened in a newer version of Excel. Learn more: https://go.microsoft.com/fwlink/?linkid=870924
Comment:
    .99
.147</t>
      </text>
    </comment>
    <comment ref="AB35" authorId="374" shapeId="0" xr:uid="{90E97536-CB72-4B15-9570-3FBE1112BAA9}">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C35" authorId="375" shapeId="0" xr:uid="{A28C7A37-D5A6-494E-8CB8-09CE321F86BF}">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D35" authorId="376" shapeId="0" xr:uid="{93F0393E-2240-4EDB-BF06-140F980B6AE3}">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E35" authorId="377" shapeId="0" xr:uid="{FC8A089C-2997-4DDB-8106-7818C35B37DB}">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F35" authorId="378" shapeId="0" xr:uid="{206497A4-76D7-470B-AD2F-57A1A1B93B5B}">
      <text>
        <t>[Threaded comment]
Your version of Excel allows you to read this threaded comment; however, any edits to it will get removed if the file is opened in a newer version of Excel. Learn more: https://go.microsoft.com/fwlink/?linkid=870924
Comment:
    .16
.98
.146
.149</t>
      </text>
    </comment>
    <comment ref="AG35" authorId="379" shapeId="0" xr:uid="{73512851-3F22-4EFC-AE6D-D90EFBD405D9}">
      <text>
        <t>[Threaded comment]
Your version of Excel allows you to read this threaded comment; however, any edits to it will get removed if the file is opened in a newer version of Excel. Learn more: https://go.microsoft.com/fwlink/?linkid=870924
Comment:
    .144
And Avanci is the pool
Reply:
    Used to be Yes?</t>
      </text>
    </comment>
    <comment ref="AS35" authorId="380" shapeId="0" xr:uid="{794B8060-3F8A-4B2B-8C51-F2AF0634A0BE}">
      <text>
        <t>[Threaded comment]
Your version of Excel allows you to read this threaded comment; however, any edits to it will get removed if the file is opened in a newer version of Excel. Learn more: https://go.microsoft.com/fwlink/?linkid=870924
Comment:
    Darts</t>
      </text>
    </comment>
    <comment ref="S36" authorId="381" shapeId="0" xr:uid="{DBE253BE-AF64-4BBE-80A7-5845DDA2EE20}">
      <text>
        <t>[Threaded comment]
Your version of Excel allows you to read this threaded comment; however, any edits to it will get removed if the file is opened in a newer version of Excel. Learn more: https://go.microsoft.com/fwlink/?linkid=870924
Comment:
    .22</t>
      </text>
    </comment>
    <comment ref="W36" authorId="382" shapeId="0" xr:uid="{ABE688B0-9C4E-4756-A264-DC08C69102C9}">
      <text>
        <t>[Threaded comment]
Your version of Excel allows you to read this threaded comment; however, any edits to it will get removed if the file is opened in a newer version of Excel. Learn more: https://go.microsoft.com/fwlink/?linkid=870924
Comment:
    .22</t>
      </text>
    </comment>
    <comment ref="Y36" authorId="383" shapeId="0" xr:uid="{26B0930E-D173-4DAC-BED2-4542622C4B9F}">
      <text>
        <t>[Threaded comment]
Your version of Excel allows you to read this threaded comment; however, any edits to it will get removed if the file is opened in a newer version of Excel. Learn more: https://go.microsoft.com/fwlink/?linkid=870924
Comment:
    .280</t>
      </text>
    </comment>
    <comment ref="Z36" authorId="384" shapeId="0" xr:uid="{8623A888-7CC2-4957-9920-32340E3C7CD5}">
      <text>
        <t>[Threaded comment]
Your version of Excel allows you to read this threaded comment; however, any edits to it will get removed if the file is opened in a newer version of Excel. Learn more: https://go.microsoft.com/fwlink/?linkid=870924
Comment:
    .288
v
.290
Reply:
    Used to be Yes?</t>
      </text>
    </comment>
    <comment ref="AA36" authorId="385" shapeId="0" xr:uid="{1BA235EC-7A76-4CD0-A572-9B7BE56A27D6}">
      <text>
        <t>[Threaded comment]
Your version of Excel allows you to read this threaded comment; however, any edits to it will get removed if the file is opened in a newer version of Excel. Learn more: https://go.microsoft.com/fwlink/?linkid=870924
Comment:
    .297</t>
      </text>
    </comment>
    <comment ref="AB36" authorId="386" shapeId="0" xr:uid="{06101EA1-7432-4726-8F69-C0065A321006}">
      <text>
        <t>[Threaded comment]
Your version of Excel allows you to read this threaded comment; however, any edits to it will get removed if the file is opened in a newer version of Excel. Learn more: https://go.microsoft.com/fwlink/?linkid=870924
Comment:
    .305</t>
      </text>
    </comment>
    <comment ref="AC36" authorId="387" shapeId="0" xr:uid="{BB3B60CB-C675-4D3D-828C-30AD9DDC536B}">
      <text>
        <t>[Threaded comment]
Your version of Excel allows you to read this threaded comment; however, any edits to it will get removed if the file is opened in a newer version of Excel. Learn more: https://go.microsoft.com/fwlink/?linkid=870924
Comment:
    .278
.321
.322
.418
Reply:
    Previous offers (2012-2015) were not substantially FRAND (lack of explanation on how they were calculated) and the 2017 one (during litigation) was not formally FRAND (timing, too late, during litigation)</t>
      </text>
    </comment>
    <comment ref="AD36" authorId="388" shapeId="0" xr:uid="{6EFCDBFC-A684-404F-831C-5A81A424B998}">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E36" authorId="389" shapeId="0" xr:uid="{71F4F368-F857-4F17-984C-635BFFAFF387}">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G36" authorId="390" shapeId="0" xr:uid="{591C794C-CBB7-4BA1-9A7D-84B6A99E64DB}">
      <text>
        <t>[Threaded comment]
Your version of Excel allows you to read this threaded comment; however, any edits to it will get removed if the file is opened in a newer version of Excel. Learn more: https://go.microsoft.com/fwlink/?linkid=870924
Comment:
    .26
.40
.44</t>
      </text>
    </comment>
    <comment ref="AP36" authorId="391" shapeId="0" xr:uid="{DA19761D-8780-4954-91DE-B545AC858E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O37" authorId="392" shapeId="0" xr:uid="{4BE678D7-7B62-4577-BA39-F789DD56FCB4}">
      <text>
        <t>[Threaded comment]
Your version of Excel allows you to read this threaded comment; however, any edits to it will get removed if the file is opened in a newer version of Excel. Learn more: https://go.microsoft.com/fwlink/?linkid=870924
Comment:
    Used to be ?
Then 1?</t>
      </text>
    </comment>
    <comment ref="S37" authorId="393" shapeId="0" xr:uid="{3297C1C8-FE32-4BD7-B4F1-435BE0AC11A4}">
      <text>
        <t>[Threaded comment]
Your version of Excel allows you to read this threaded comment; however, any edits to it will get removed if the file is opened in a newer version of Excel. Learn more: https://go.microsoft.com/fwlink/?linkid=870924
Comment:
    .23</t>
      </text>
    </comment>
    <comment ref="W37" authorId="394" shapeId="0" xr:uid="{B4204844-7F7C-48BA-8027-8A0E691609EF}">
      <text>
        <t>[Threaded comment]
Your version of Excel allows you to read this threaded comment; however, any edits to it will get removed if the file is opened in a newer version of Excel. Learn more: https://go.microsoft.com/fwlink/?linkid=870924
Comment:
    .23</t>
      </text>
    </comment>
    <comment ref="Y37" authorId="395" shapeId="0" xr:uid="{327D0410-ACF5-4493-9A42-07A05EF47F4C}">
      <text>
        <t>[Threaded comment]
Your version of Excel allows you to read this threaded comment; however, any edits to it will get removed if the file is opened in a newer version of Excel. Learn more: https://go.microsoft.com/fwlink/?linkid=870924
Comment:
    .280</t>
      </text>
    </comment>
    <comment ref="Z37" authorId="396" shapeId="0" xr:uid="{A9E70471-0252-4B8E-8EEA-8A0B86649338}">
      <text>
        <t>[Threaded comment]
Your version of Excel allows you to read this threaded comment; however, any edits to it will get removed if the file is opened in a newer version of Excel. Learn more: https://go.microsoft.com/fwlink/?linkid=870924
Comment:
    .288
v
.290
Reply:
    Used to be Yes?</t>
      </text>
    </comment>
    <comment ref="AA37" authorId="397" shapeId="0" xr:uid="{C39E3FEB-91B7-472F-B37D-DABE0041E6DD}">
      <text>
        <t>[Threaded comment]
Your version of Excel allows you to read this threaded comment; however, any edits to it will get removed if the file is opened in a newer version of Excel. Learn more: https://go.microsoft.com/fwlink/?linkid=870924
Comment:
    .297</t>
      </text>
    </comment>
    <comment ref="AB37" authorId="398" shapeId="0" xr:uid="{703B2099-4A73-47E6-B958-778363EEE7BE}">
      <text>
        <t>[Threaded comment]
Your version of Excel allows you to read this threaded comment; however, any edits to it will get removed if the file is opened in a newer version of Excel. Learn more: https://go.microsoft.com/fwlink/?linkid=870924
Comment:
    .305</t>
      </text>
    </comment>
    <comment ref="AC37" authorId="399" shapeId="0" xr:uid="{50129832-456B-49EA-8C84-59095651758B}">
      <text>
        <t>[Threaded comment]
Your version of Excel allows you to read this threaded comment; however, any edits to it will get removed if the file is opened in a newer version of Excel. Learn more: https://go.microsoft.com/fwlink/?linkid=870924
Comment:
    .278
.321
.322
.418</t>
      </text>
    </comment>
    <comment ref="AD37" authorId="400" shapeId="0" xr:uid="{2B182C5B-22FB-4B85-AD86-097330DA34FF}">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E37" authorId="401" shapeId="0" xr:uid="{A922801C-39AE-433C-957F-D1B93102DCA0}">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G37" authorId="402" shapeId="0" xr:uid="{1B6F6C68-D29A-4382-8ECD-D66CADBFCD86}">
      <text>
        <t>[Threaded comment]
Your version of Excel allows you to read this threaded comment; however, any edits to it will get removed if the file is opened in a newer version of Excel. Learn more: https://go.microsoft.com/fwlink/?linkid=870924
Comment:
    .26
.40
.44</t>
      </text>
    </comment>
    <comment ref="AP37" authorId="403" shapeId="0" xr:uid="{C6960B14-9A6D-465A-8F43-D9050A6D30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D38" authorId="404" shapeId="0" xr:uid="{D1F1137E-468B-40F6-BEE2-C208688AF1C6}">
      <text>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text>
    </comment>
    <comment ref="E38" authorId="405" shapeId="0" xr:uid="{5E4E8F6F-606C-43D4-9789-3DCE838E8B1B}">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M38" authorId="406" shapeId="0" xr:uid="{D18CB940-09D4-45F4-9721-F0C2D0776C3A}">
      <text>
        <t>[Threaded comment]
Your version of Excel allows you to read this threaded comment; however, any edits to it will get removed if the file is opened in a newer version of Excel. Learn more: https://go.microsoft.com/fwlink/?linkid=870924
Comment:
    .15</t>
      </text>
    </comment>
    <comment ref="U38" authorId="407" shapeId="0" xr:uid="{D857CAF7-E19C-443D-970A-7E2D38383CFF}">
      <text>
        <t>[Threaded comment]
Your version of Excel allows you to read this threaded comment; however, any edits to it will get removed if the file is opened in a newer version of Excel. Learn more: https://go.microsoft.com/fwlink/?linkid=870924
Comment:
    .15</t>
      </text>
    </comment>
    <comment ref="Y38" authorId="408" shapeId="0" xr:uid="{31A2A35C-55F3-4B2F-A6A6-F617D7D34CD5}">
      <text>
        <t>[Threaded comment]
Your version of Excel allows you to read this threaded comment; however, any edits to it will get removed if the file is opened in a newer version of Excel. Learn more: https://go.microsoft.com/fwlink/?linkid=870924
Comment:
    .15
.32</t>
      </text>
    </comment>
    <comment ref="Z38" authorId="409" shapeId="0" xr:uid="{09E97978-1016-4877-891D-A6EACF1A147D}">
      <text>
        <t>[Threaded comment]
Your version of Excel allows you to read this threaded comment; however, any edits to it will get removed if the file is opened in a newer version of Excel. Learn more: https://go.microsoft.com/fwlink/?linkid=870924
Comment:
    .33</t>
      </text>
    </comment>
    <comment ref="AC38" authorId="410" shapeId="0" xr:uid="{6CC488B0-877B-4EA1-B24C-732FBB2F7715}">
      <text>
        <t xml:space="preserve">[Threaded comment]
Your version of Excel allows you to read this threaded comment; however, any edits to it will get removed if the file is opened in a newer version of Excel. Learn more: https://go.microsoft.com/fwlink/?linkid=870924
Comment:
    NO
Justus </t>
      </text>
    </comment>
    <comment ref="D39" authorId="411" shapeId="0" xr:uid="{BD3FCE49-6D9F-4368-8E12-D77345524D9E}">
      <text>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text>
    </comment>
    <comment ref="E39" authorId="412" shapeId="0" xr:uid="{5C247FD9-A2AE-4138-94AD-AA72A347838B}">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Y39" authorId="413" shapeId="0" xr:uid="{84F1FA65-247A-4FE6-A693-2357F8C0E5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Z39" authorId="414" shapeId="0" xr:uid="{44E58E5E-434A-45E2-BAA6-ED12AD9627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A39" authorId="415" shapeId="0" xr:uid="{14FF0BC7-A3FC-4588-8F7B-D1B983BF5673}">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B39" authorId="416" shapeId="0" xr:uid="{3349219C-C6EB-4C13-932F-D7156F365284}">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C39" authorId="417" shapeId="0" xr:uid="{D7980DD2-86C7-4862-B4A5-EC316AB8BF6E}">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D39" authorId="418" shapeId="0" xr:uid="{FCE9C9E7-A0B6-4E49-AA6C-C5A250ED233A}">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E39" authorId="419" shapeId="0" xr:uid="{F4050829-ECBE-4DAE-9242-1FCF8FA6F27D}">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G39" authorId="420" shapeId="0" xr:uid="{AE351F9A-17BE-426D-81B4-F5DBFE12A56E}">
      <text>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text>
    </comment>
    <comment ref="AS39" authorId="421" shapeId="0" xr:uid="{52BA4B67-2E77-4AF9-BC74-BBBFC8763A3B}">
      <text>
        <t>[Threaded comment]
Your version of Excel allows you to read this threaded comment; however, any edits to it will get removed if the file is opened in a newer version of Excel. Learn more: https://go.microsoft.com/fwlink/?linkid=870924
Comment:
    Darts</t>
      </text>
    </comment>
    <comment ref="C40" authorId="422" shapeId="0" xr:uid="{65CBC97A-1C38-4B3B-B6C6-39C6562E9535}">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0" authorId="423" shapeId="0" xr:uid="{C50472F7-4D47-4403-B431-4B0855C07AA7}">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W40" authorId="424" shapeId="0" xr:uid="{1D48B6F2-C512-40FD-9DD7-9CEC16C8C51B}">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X40" authorId="425" shapeId="0" xr:uid="{AB8A4BFD-B7CF-4829-A77D-A53D2994688D}">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Y40" authorId="426" shapeId="0" xr:uid="{6EB991B9-E067-4DC7-96ED-35D336C7B4AA}">
      <text>
        <t>[Threaded comment]
Your version of Excel allows you to read this threaded comment; however, any edits to it will get removed if the file is opened in a newer version of Excel. Learn more: https://go.microsoft.com/fwlink/?linkid=870924
Comment:
    Seite 19, III.</t>
      </text>
    </comment>
    <comment ref="Z40" authorId="427" shapeId="0" xr:uid="{D343255F-847F-4D6E-8499-F725EEA34BEF}">
      <text>
        <t>[Threaded comment]
Your version of Excel allows you to read this threaded comment; however, any edits to it will get removed if the file is opened in a newer version of Excel. Learn more: https://go.microsoft.com/fwlink/?linkid=870924
Comment:
    Seite 19, III.</t>
      </text>
    </comment>
    <comment ref="AA40" authorId="428" shapeId="0" xr:uid="{86D504D6-2341-4191-972A-A37EC2DA99C2}">
      <text>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text>
    </comment>
    <comment ref="AB40" authorId="429" shapeId="0" xr:uid="{5CF8D17A-0CB0-4B99-8A1D-B6BE3E570FE8}">
      <text>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text>
    </comment>
    <comment ref="AC40" authorId="430" shapeId="0" xr:uid="{9EAC1566-CBF9-4202-BAC5-88C5AE8DD480}">
      <text>
        <t>[Threaded comment]
Your version of Excel allows you to read this threaded comment; however, any edits to it will get removed if the file is opened in a newer version of Excel. Learn more: https://go.microsoft.com/fwlink/?linkid=870924
Comment:
    Seite 35, e).</t>
      </text>
    </comment>
    <comment ref="AD40" authorId="431" shapeId="0" xr:uid="{85F926B5-3CA9-49A8-BFF9-F91561B02CF5}">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
Reply:
    Used to be Yes*</t>
      </text>
    </comment>
    <comment ref="AE40" authorId="432" shapeId="0" xr:uid="{E53AFF5A-16D9-4C84-9A51-33B955C0531E}">
      <text>
        <t>[Threaded comment]
Your version of Excel allows you to read this threaded comment; however, any edits to it will get removed if the file is opened in a newer version of Excel. Learn more: https://go.microsoft.com/fwlink/?linkid=870924
Comment:
    Seite 35, e).</t>
      </text>
    </comment>
    <comment ref="AF40" authorId="433" shapeId="0" xr:uid="{B8A6B17E-9E02-471B-A708-92213B33AD82}">
      <text>
        <t>[Threaded comment]
Your version of Excel allows you to read this threaded comment; however, any edits to it will get removed if the file is opened in a newer version of Excel. Learn more: https://go.microsoft.com/fwlink/?linkid=870924
Comment:
    Seite 5</t>
      </text>
    </comment>
    <comment ref="AG40" authorId="434" shapeId="0" xr:uid="{6962D191-5A58-4E39-AB0F-5754B1F7E3BF}">
      <text>
        <t>[Threaded comment]
Your version of Excel allows you to read this threaded comment; however, any edits to it will get removed if the file is opened in a newer version of Excel. Learn more: https://go.microsoft.com/fwlink/?linkid=870924
Comment:
    Seite 35, e).
Seite 38, b).</t>
      </text>
    </comment>
    <comment ref="AJ40" authorId="435" shapeId="0" xr:uid="{C37F0342-CF31-4E5E-A91D-708A69520CFF}">
      <text>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text>
    </comment>
    <comment ref="AP40" authorId="436" shapeId="0" xr:uid="{B6E4F74B-ED10-41E8-8DE1-5D82805F2291}">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S40" authorId="437" shapeId="0" xr:uid="{42DD2DB2-5146-4EE6-B0B0-26E68A56FE1E}">
      <text>
        <t>[Threaded comment]
Your version of Excel allows you to read this threaded comment; however, any edits to it will get removed if the file is opened in a newer version of Excel. Learn more: https://go.microsoft.com/fwlink/?linkid=870924
Comment:
    Darts</t>
      </text>
    </comment>
    <comment ref="C41" authorId="438" shapeId="0" xr:uid="{95A2629F-055A-463B-93E3-C5EAD573E9CB}">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1" authorId="439" shapeId="0" xr:uid="{38702FA9-95E1-42CC-9C58-D7AD2C7954D6}">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W41" authorId="440" shapeId="0" xr:uid="{C3066B8E-8631-49F0-B97C-5E546FB5EB25}">
      <text>
        <t>[Threaded comment]
Your version of Excel allows you to read this threaded comment; however, any edits to it will get removed if the file is opened in a newer version of Excel. Learn more: https://go.microsoft.com/fwlink/?linkid=870924
Comment:
    Seite 6
Seite 35, d).</t>
      </text>
    </comment>
    <comment ref="X41" authorId="441" shapeId="0" xr:uid="{87A1BC98-4A06-47B8-BDC1-0A8F2AC24E37}">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Y41" authorId="442" shapeId="0" xr:uid="{34D2BEE6-B478-4F60-AF2B-10E6AD850F6F}">
      <text>
        <t>[Threaded comment]
Your version of Excel allows you to read this threaded comment; however, any edits to it will get removed if the file is opened in a newer version of Excel. Learn more: https://go.microsoft.com/fwlink/?linkid=870924
Comment:
    Seite 20, III.</t>
      </text>
    </comment>
    <comment ref="Z41" authorId="443" shapeId="0" xr:uid="{D8A63E64-C5AD-45C4-A3EB-6226EA2176F6}">
      <text>
        <t>[Threaded comment]
Your version of Excel allows you to read this threaded comment; however, any edits to it will get removed if the file is opened in a newer version of Excel. Learn more: https://go.microsoft.com/fwlink/?linkid=870924
Comment:
    Seite 20, III.</t>
      </text>
    </comment>
    <comment ref="AA41" authorId="444" shapeId="0" xr:uid="{EC81A276-427D-4672-9277-0C02D421FF6B}">
      <text>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text>
    </comment>
    <comment ref="AB41" authorId="445" shapeId="0" xr:uid="{26555C26-70FC-4BDE-84E5-A2976D257413}">
      <text>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text>
    </comment>
    <comment ref="AC41" authorId="446" shapeId="0" xr:uid="{9324A699-AD5C-4775-87FD-A6F8F73BBBD0}">
      <text>
        <t>[Threaded comment]
Your version of Excel allows you to read this threaded comment; however, any edits to it will get removed if the file is opened in a newer version of Excel. Learn more: https://go.microsoft.com/fwlink/?linkid=870924
Comment:
    Seite 36, e).</t>
      </text>
    </comment>
    <comment ref="AD41" authorId="447" shapeId="0" xr:uid="{E4334AC3-A9CF-48BC-905D-B9CD46C9E14C}">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
Reply:
    Used to be Yes*</t>
      </text>
    </comment>
    <comment ref="AE41" authorId="448" shapeId="0" xr:uid="{7C68B184-A6BE-4BC9-86DC-D6F1DB3BC1BE}">
      <text>
        <t>[Threaded comment]
Your version of Excel allows you to read this threaded comment; however, any edits to it will get removed if the file is opened in a newer version of Excel. Learn more: https://go.microsoft.com/fwlink/?linkid=870924
Comment:
    Seite 36, e).</t>
      </text>
    </comment>
    <comment ref="AF41" authorId="449" shapeId="0" xr:uid="{95699A66-523C-402B-A040-21444F92F5A0}">
      <text>
        <t>[Threaded comment]
Your version of Excel allows you to read this threaded comment; however, any edits to it will get removed if the file is opened in a newer version of Excel. Learn more: https://go.microsoft.com/fwlink/?linkid=870924
Comment:
    Seite 5</t>
      </text>
    </comment>
    <comment ref="AG41" authorId="450" shapeId="0" xr:uid="{426269BC-B439-481E-9B0A-7C9AAC64A677}">
      <text>
        <t>[Threaded comment]
Your version of Excel allows you to read this threaded comment; however, any edits to it will get removed if the file is opened in a newer version of Excel. Learn more: https://go.microsoft.com/fwlink/?linkid=870924
Comment:
    Seite 36, e).</t>
      </text>
    </comment>
    <comment ref="AP41" authorId="451" shapeId="0" xr:uid="{9E67DBA7-42CD-4711-9FE9-1B2B79B6B0EC}">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S41" authorId="452" shapeId="0" xr:uid="{68E651B4-0E5B-4A80-8AD8-988ED267462B}">
      <text>
        <t>[Threaded comment]
Your version of Excel allows you to read this threaded comment; however, any edits to it will get removed if the file is opened in a newer version of Excel. Learn more: https://go.microsoft.com/fwlink/?linkid=870924
Comment:
    Darts</t>
      </text>
    </comment>
    <comment ref="S42" authorId="453" shapeId="0" xr:uid="{D8F01618-E378-476B-9773-A25B6AC8DE3B}">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W42" authorId="454" shapeId="0" xr:uid="{6242520F-5886-43BC-A3AC-8451305B27E0}">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Y42" authorId="455" shapeId="0" xr:uid="{DF43F2D8-6C96-475C-B93F-54AF906A335D}">
      <text>
        <t>[Threaded comment]
Your version of Excel allows you to read this threaded comment; however, any edits to it will get removed if the file is opened in a newer version of Excel. Learn more: https://go.microsoft.com/fwlink/?linkid=870924
Comment:
    Seite 23, 2.</t>
      </text>
    </comment>
    <comment ref="Z42" authorId="456" shapeId="0" xr:uid="{8B5883FF-1EC1-4B6D-857D-1015E6E5ABE0}">
      <text>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text>
    </comment>
    <comment ref="AB42" authorId="457" shapeId="0" xr:uid="{AEF55E17-00D1-4DBD-AC61-76D68D814A05}">
      <text>
        <t>[Threaded comment]
Your version of Excel allows you to read this threaded comment; however, any edits to it will get removed if the file is opened in a newer version of Excel. Learn more: https://go.microsoft.com/fwlink/?linkid=870924
Comment:
    Seite 30, d).</t>
      </text>
    </comment>
    <comment ref="AC42" authorId="458" shapeId="0" xr:uid="{0F868D68-C18E-43F1-9342-369DD298D03A}">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text>
    </comment>
    <comment ref="AD42" authorId="459" shapeId="0" xr:uid="{83DE3443-701B-4359-A417-CDAC6556D5A0}">
      <text>
        <t>[Threaded comment]
Your version of Excel allows you to read this threaded comment; however, any edits to it will get removed if the file is opened in a newer version of Excel. Learn more: https://go.microsoft.com/fwlink/?linkid=870924
Comment:
    Seite 30, d).</t>
      </text>
    </comment>
    <comment ref="AE42" authorId="460" shapeId="0" xr:uid="{89CCD304-5A5D-4E05-A03F-425A201699D5}">
      <text>
        <t>[Threaded comment]
Your version of Excel allows you to read this threaded comment; however, any edits to it will get removed if the file is opened in a newer version of Excel. Learn more: https://go.microsoft.com/fwlink/?linkid=870924
Comment:
    Seite 30, d).</t>
      </text>
    </comment>
    <comment ref="AG42" authorId="461" shapeId="0" xr:uid="{53998905-7620-4B78-8A19-2DDC9CD80B79}">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
Reply:
    Used to be Yes?</t>
      </text>
    </comment>
    <comment ref="AP42" authorId="462" shapeId="0" xr:uid="{FB5A5662-B8B6-462D-A857-8C4530C0B236}">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42" authorId="463" shapeId="0" xr:uid="{3D88C699-8DB7-4C56-ADC8-E017155A10BE}">
      <text>
        <t>[Threaded comment]
Your version of Excel allows you to read this threaded comment; however, any edits to it will get removed if the file is opened in a newer version of Excel. Learn more: https://go.microsoft.com/fwlink/?linkid=870924
Comment:
    Darts</t>
      </text>
    </comment>
    <comment ref="S43" authorId="464" shapeId="0" xr:uid="{C3E39C0F-BA72-4543-BB27-23F1CA4E6D5F}">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W43" authorId="465" shapeId="0" xr:uid="{6070B5E8-D321-415D-8506-9DF0DF6501D4}">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Y43" authorId="466" shapeId="0" xr:uid="{65A01417-65CA-43B9-A015-EEAE8D8CEF62}">
      <text>
        <t>[Threaded comment]
Your version of Excel allows you to read this threaded comment; however, any edits to it will get removed if the file is opened in a newer version of Excel. Learn more: https://go.microsoft.com/fwlink/?linkid=870924
Comment:
    Seite 27, I.</t>
      </text>
    </comment>
    <comment ref="Z43" authorId="467" shapeId="0" xr:uid="{AD75846A-2672-4D35-9C13-BE9A7F9AFD3F}">
      <text>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text>
    </comment>
    <comment ref="AB43" authorId="468" shapeId="0" xr:uid="{C3580CD2-350C-4B78-9A71-A2C72BC5121D}">
      <text>
        <t>[Threaded comment]
Your version of Excel allows you to read this threaded comment; however, any edits to it will get removed if the file is opened in a newer version of Excel. Learn more: https://go.microsoft.com/fwlink/?linkid=870924
Comment:
    Seite 29, b).</t>
      </text>
    </comment>
    <comment ref="AC43" authorId="469" shapeId="0" xr:uid="{EFF682F4-7443-4620-8F37-AF4F5DB7E15C}">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text>
    </comment>
    <comment ref="AD43" authorId="470" shapeId="0" xr:uid="{4E31A563-477E-4127-80CF-A8CB0E4B6DC1}">
      <text>
        <t>[Threaded comment]
Your version of Excel allows you to read this threaded comment; however, any edits to it will get removed if the file is opened in a newer version of Excel. Learn more: https://go.microsoft.com/fwlink/?linkid=870924
Comment:
    Seite 34, d).</t>
      </text>
    </comment>
    <comment ref="AE43" authorId="471" shapeId="0" xr:uid="{76B9BED2-551F-449C-9E34-CD5AAFC1084B}">
      <text>
        <t>[Threaded comment]
Your version of Excel allows you to read this threaded comment; however, any edits to it will get removed if the file is opened in a newer version of Excel. Learn more: https://go.microsoft.com/fwlink/?linkid=870924
Comment:
    Seite 34, d).</t>
      </text>
    </comment>
    <comment ref="AG43" authorId="472" shapeId="0" xr:uid="{92A53489-7A5E-409D-B241-B982661AEC06}">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
Reply:
    Used to be Yes?</t>
      </text>
    </comment>
    <comment ref="AP43" authorId="473" shapeId="0" xr:uid="{0400429E-9722-4427-B969-B47943577E5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S44" authorId="474" shapeId="0" xr:uid="{4721B627-141F-4CBA-AE87-E8C6245C5484}">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W44" authorId="475" shapeId="0" xr:uid="{4CAF9C74-A508-45A7-AC23-5F3B708A790D}">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Y44" authorId="476" shapeId="0" xr:uid="{6F725F88-C3DC-4C7B-83E6-2FA8CD17D0D2}">
      <text>
        <t>[Threaded comment]
Your version of Excel allows you to read this threaded comment; however, any edits to it will get removed if the file is opened in a newer version of Excel. Learn more: https://go.microsoft.com/fwlink/?linkid=870924
Comment:
    Seite 25, 2.</t>
      </text>
    </comment>
    <comment ref="Z44" authorId="477" shapeId="0" xr:uid="{7A2EE329-9981-4127-AF6A-98EAF162CA3F}">
      <text>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text>
    </comment>
    <comment ref="AB44" authorId="478" shapeId="0" xr:uid="{AAD5434A-9305-486A-B847-9E383B0A9558}">
      <text>
        <t>[Threaded comment]
Your version of Excel allows you to read this threaded comment; however, any edits to it will get removed if the file is opened in a newer version of Excel. Learn more: https://go.microsoft.com/fwlink/?linkid=870924
Comment:
    Siete 33, d).</t>
      </text>
    </comment>
    <comment ref="AC44" authorId="479" shapeId="0" xr:uid="{4F4C28F7-DF5E-48DF-8800-B23688A9BC52}">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text>
    </comment>
    <comment ref="AD44" authorId="480" shapeId="0" xr:uid="{A979EA58-05A0-4FD4-8DB7-4DA4A36BDCA2}">
      <text>
        <t>[Threaded comment]
Your version of Excel allows you to read this threaded comment; however, any edits to it will get removed if the file is opened in a newer version of Excel. Learn more: https://go.microsoft.com/fwlink/?linkid=870924
Comment:
    Seite 33, d).</t>
      </text>
    </comment>
    <comment ref="AE44" authorId="481" shapeId="0" xr:uid="{B5CCBBDE-C2B0-4F03-85BB-46F2C2E1B577}">
      <text>
        <t>[Threaded comment]
Your version of Excel allows you to read this threaded comment; however, any edits to it will get removed if the file is opened in a newer version of Excel. Learn more: https://go.microsoft.com/fwlink/?linkid=870924
Comment:
    Seite 33, d).</t>
      </text>
    </comment>
    <comment ref="AG44" authorId="482" shapeId="0" xr:uid="{6878A100-0012-436D-B0FC-26A02624FDE7}">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
Reply:
    Used to be Yes?</t>
      </text>
    </comment>
    <comment ref="E45" authorId="483" shapeId="0" xr:uid="{87D1E195-CAB7-43AC-A9E6-F793840A9045}">
      <text>
        <t>[Threaded comment]
Your version of Excel allows you to read this threaded comment; however, any edits to it will get removed if the file is opened in a newer version of Excel. Learn more: https://go.microsoft.com/fwlink/?linkid=870924
Comment:
    Siete 33, VI.</t>
      </text>
    </comment>
    <comment ref="S45" authorId="484" shapeId="0" xr:uid="{1D0B8B80-96A1-4C77-8DC1-005CF360D60F}">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W45" authorId="485" shapeId="0" xr:uid="{7D15FF35-6C78-4AE0-8C4E-412132A9048D}">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Y45" authorId="486" shapeId="0" xr:uid="{50CF8117-4937-4023-BB7A-1566B600871F}">
      <text>
        <t>[Threaded comment]
Your version of Excel allows you to read this threaded comment; however, any edits to it will get removed if the file is opened in a newer version of Excel. Learn more: https://go.microsoft.com/fwlink/?linkid=870924
Comment:
    Seite 24, V. 1.</t>
      </text>
    </comment>
    <comment ref="Z45" authorId="487" shapeId="0" xr:uid="{8E338628-572D-4817-9A2A-FB1EFBF9A91E}">
      <text>
        <t>[Threaded comment]
Your version of Excel allows you to read this threaded comment; however, any edits to it will get removed if the file is opened in a newer version of Excel. Learn more: https://go.microsoft.com/fwlink/?linkid=870924
Comment:
    YES
Justus</t>
      </text>
    </comment>
    <comment ref="AB45" authorId="488" shapeId="0" xr:uid="{0B75DEFD-6EFF-4BE0-BDD1-EDC910FB311D}">
      <text>
        <t>[Threaded comment]
Your version of Excel allows you to read this threaded comment; however, any edits to it will get removed if the file is opened in a newer version of Excel. Learn more: https://go.microsoft.com/fwlink/?linkid=870924
Comment:
    Seite 32, d).</t>
      </text>
    </comment>
    <comment ref="AC45" authorId="489" shapeId="0" xr:uid="{7E3C3834-90E3-4F70-8DFA-4D2818CEADBF}">
      <text>
        <t>[Threaded comment]
Your version of Excel allows you to read this threaded comment; however, any edits to it will get removed if the file is opened in a newer version of Excel. Learn more: https://go.microsoft.com/fwlink/?linkid=870924
Comment:
    Seite 33.</t>
      </text>
    </comment>
    <comment ref="AD45" authorId="490" shapeId="0" xr:uid="{D8D6515D-E62A-45E2-A152-FB85A22B760E}">
      <text>
        <t>[Threaded comment]
Your version of Excel allows you to read this threaded comment; however, any edits to it will get removed if the file is opened in a newer version of Excel. Learn more: https://go.microsoft.com/fwlink/?linkid=870924
Comment:
    Seite 31, c).</t>
      </text>
    </comment>
    <comment ref="AE45" authorId="491" shapeId="0" xr:uid="{85C81414-F00F-44C1-9813-5D57EA6A17D9}">
      <text>
        <t>[Threaded comment]
Your version of Excel allows you to read this threaded comment; however, any edits to it will get removed if the file is opened in a newer version of Excel. Learn more: https://go.microsoft.com/fwlink/?linkid=870924
Comment:
    Seite 33.</t>
      </text>
    </comment>
    <comment ref="AG45" authorId="492" shapeId="0" xr:uid="{3D10BC6C-8EB6-4258-A7AA-85BE3B448440}">
      <text>
        <t>[Threaded comment]
Your version of Excel allows you to read this threaded comment; however, any edits to it will get removed if the file is opened in a newer version of Excel. Learn more: https://go.microsoft.com/fwlink/?linkid=870924
Comment:
    Seite 3.
Seite 24, 4.</t>
      </text>
    </comment>
    <comment ref="AP45" authorId="493" shapeId="0" xr:uid="{EA98DEB3-31EC-49A4-9C04-0C9FE01600B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S46" authorId="494" shapeId="0" xr:uid="{0DA2E549-7929-48DF-8914-10C7F2865292}">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W46" authorId="495" shapeId="0" xr:uid="{D8900D72-25D4-4135-ACE8-E5E795FC76EE}">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 ref="Y46" authorId="496" shapeId="0" xr:uid="{BF41718C-37D3-438C-867B-700E32205D44}">
      <text>
        <t>[Threaded comment]
Your version of Excel allows you to read this threaded comment; however, any edits to it will get removed if the file is opened in a newer version of Excel. Learn more: https://go.microsoft.com/fwlink/?linkid=870924
Comment:
    Seite 32, E.</t>
      </text>
    </comment>
    <comment ref="Z46" authorId="497" shapeId="0" xr:uid="{B22F235B-A8FD-4F8F-A99A-94B6CF4A57C9}">
      <text>
        <t>[Threaded comment]
Your version of Excel allows you to read this threaded comment; however, any edits to it will get removed if the file is opened in a newer version of Excel. Learn more: https://go.microsoft.com/fwlink/?linkid=870924
Comment:
    Seite 32, E.
Seite 32, E. I.
Seite 34, II.</t>
      </text>
    </comment>
    <comment ref="AA46" authorId="498" shapeId="0" xr:uid="{A624C72D-1EB0-435E-9FFC-60C82C483CD2}">
      <text>
        <t>[Threaded comment]
Your version of Excel allows you to read this threaded comment; however, any edits to it will get removed if the file is opened in a newer version of Excel. Learn more: https://go.microsoft.com/fwlink/?linkid=870924
Comment:
    Seite 34, II. 2.
v
Seite 32, E.</t>
      </text>
    </comment>
    <comment ref="AB46" authorId="499" shapeId="0" xr:uid="{7E130F33-B8B5-4641-985E-A6B814F47E02}">
      <text>
        <t>[Threaded comment]
Your version of Excel allows you to read this threaded comment; however, any edits to it will get removed if the file is opened in a newer version of Excel. Learn more: https://go.microsoft.com/fwlink/?linkid=870924
Comment:
    Seite 34, II. 1.</t>
      </text>
    </comment>
    <comment ref="AC46" authorId="500" shapeId="0" xr:uid="{9B216D45-3519-4534-8F68-7073E1686B1B}">
      <text>
        <t>[Threaded comment]
Your version of Excel allows you to read this threaded comment; however, any edits to it will get removed if the file is opened in a newer version of Excel. Learn more: https://go.microsoft.com/fwlink/?linkid=870924
Comment:
    Seite 34, II. 2. a).
Seite 35, bb).</t>
      </text>
    </comment>
    <comment ref="AD46" authorId="501" shapeId="0" xr:uid="{79BF3DD7-17BD-424E-8B85-524608DA7006}">
      <text>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
Reply:
    Seite 34, II. 2. a).
Reply:
    Mention that the offer of the plaintiff does not meet the FRAND criteria, which makes me believe it is more of a Non-Formal rather than a Non-Substantial.
Reply:
    Seite 35, bb).
They identify a paragraph from the offer to be fair nor appropriate. That seems to be more formal than substantial.</t>
      </text>
    </comment>
    <comment ref="AE46" authorId="502" shapeId="0" xr:uid="{19CF3F93-55A8-4BAF-9003-B021E507A2E7}">
      <text>
        <t>[Threaded comment]
Your version of Excel allows you to read this threaded comment; however, any edits to it will get removed if the file is opened in a newer version of Excel. Learn more: https://go.microsoft.com/fwlink/?linkid=870924
Comment:
    Seite 33.
Seite 34, II. 2.</t>
      </text>
    </comment>
    <comment ref="AG46" authorId="503" shapeId="0" xr:uid="{6302D8D7-A32A-4DCF-BD5C-C7F27C48BB96}">
      <text>
        <t>[Threaded comment]
Your version of Excel allows you to read this threaded comment; however, any edits to it will get removed if the file is opened in a newer version of Excel. Learn more: https://go.microsoft.com/fwlink/?linkid=870924
Comment:
    Seite 37, (4)</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tc={EDDFF372-CD93-4DF0-972E-763D987ED9E2}</author>
    <author>tc={66FD8162-B778-45A5-ACB4-ABA69E538C05}</author>
    <author>tc={07111C3F-D031-45ED-9BC1-4520F3AC3AC0}</author>
    <author>tc={7CAEA0D8-6BB1-402E-B87E-42F6D111A15D}</author>
    <author>tc={B607CFBB-3F78-47FD-B388-682D9117A20D}</author>
    <author>tc={0DF9FD58-AD09-4ED3-AE3C-24B2AF682156}</author>
    <author>tc={DCD685DC-4274-4123-BDEE-0BFE01FEEA3B}</author>
    <author>tc={E69A17D2-EBAF-4E57-B8CC-A0F2835936DA}</author>
    <author>tc={BDBCFF0F-26C4-47AC-9623-88DD675AB585}</author>
    <author>tc={52D53C8D-94B1-4B6A-856A-E75AAD34E289}</author>
    <author>tc={A97C5751-A0A0-46FF-B338-ED28055DCCFB}</author>
    <author>tc={C466A185-D23D-41F5-97F3-25F696544904}</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tc={CCD5ECBC-950E-4A4B-9179-E50BAA44DAEC}</author>
    <author>tc={8BC52B21-EEDA-4322-9C73-BD971CA90C6E}</author>
  </authors>
  <commentList>
    <comment ref="B1" authorId="0" shapeId="0" xr:uid="{EDDFF372-CD93-4DF0-972E-763D987ED9E2}">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C1" authorId="1" shapeId="0" xr:uid="{66FD8162-B778-45A5-ACB4-ABA69E538C0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X1" authorId="2" shapeId="0" xr:uid="{07111C3F-D031-45ED-9BC1-4520F3AC3AC0}">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Y1" authorId="3" shapeId="0" xr:uid="{7CAEA0D8-6BB1-402E-B87E-42F6D111A15D}">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AM2" authorId="4" shapeId="0" xr:uid="{B607CFBB-3F78-47FD-B388-682D9117A20D}">
      <text>
        <t>[Threaded comment]
Your version of Excel allows you to read this threaded comment; however, any edits to it will get removed if the file is opened in a newer version of Excel. Learn more: https://go.microsoft.com/fwlink/?linkid=870924
Comment:
    Hardcoded</t>
      </text>
    </comment>
    <comment ref="AN6" authorId="5" shapeId="0" xr:uid="{0DF9FD58-AD09-4ED3-AE3C-24B2AF682156}">
      <text>
        <t>[Threaded comment]
Your version of Excel allows you to read this threaded comment; however, any edits to it will get removed if the file is opened in a newer version of Excel. Learn more: https://go.microsoft.com/fwlink/?linkid=870924
Comment:
    Hardcoded</t>
      </text>
    </comment>
    <comment ref="AG10" authorId="6" shapeId="0" xr:uid="{DCD685DC-4274-4123-BDEE-0BFE01FEEA3B}">
      <text>
        <t>[Threaded comment]
Your version of Excel allows you to read this threaded comment; however, any edits to it will get removed if the file is opened in a newer version of Excel. Learn more: https://go.microsoft.com/fwlink/?linkid=870924
Comment:
    Check</t>
      </text>
    </comment>
    <comment ref="AH10" authorId="7" shapeId="0" xr:uid="{E69A17D2-EBAF-4E57-B8CC-A0F2835936DA}">
      <text>
        <t>[Threaded comment]
Your version of Excel allows you to read this threaded comment; however, any edits to it will get removed if the file is opened in a newer version of Excel. Learn more: https://go.microsoft.com/fwlink/?linkid=870924
Comment:
    Check</t>
      </text>
    </comment>
    <comment ref="AF13" authorId="8" shapeId="0" xr:uid="{BDBCFF0F-26C4-47AC-9623-88DD675AB585}">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AG13" authorId="9" shapeId="0" xr:uid="{52D53C8D-94B1-4B6A-856A-E75AAD34E289}">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AH13" authorId="10" shapeId="0" xr:uid="{A97C5751-A0A0-46FF-B338-ED28055DCCFB}">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D35" authorId="11" shapeId="0" xr:uid="{C466A185-D23D-41F5-97F3-25F696544904}">
      <text>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text>
    </comment>
    <comment ref="Q36" authorId="12" shapeId="0" xr:uid="{F5560981-2F1C-4D60-9D80-D75488684441}">
      <text>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text>
    </comment>
    <comment ref="S36" authorId="13" shapeId="0" xr:uid="{1BF66659-1183-44A7-B215-7BA88CA48F5D}">
      <text>
        <t>[Threaded comment]
Your version of Excel allows you to read this threaded comment; however, any edits to it will get removed if the file is opened in a newer version of Excel. Learn more: https://go.microsoft.com/fwlink/?linkid=870924
Comment:
    .99
.147</t>
      </text>
    </comment>
    <comment ref="V36" authorId="14" shapeId="0" xr:uid="{54E97819-B871-46FA-82AF-AFF242877D60}">
      <text>
        <t>[Threaded comment]
Your version of Excel allows you to read this threaded comment; however, any edits to it will get removed if the file is opened in a newer version of Excel. Learn more: https://go.microsoft.com/fwlink/?linkid=870924
Comment:
    .99
.147</t>
      </text>
    </comment>
    <comment ref="X36" authorId="15" shapeId="0" xr:uid="{B84E0BEA-F15B-4BDF-A991-AE4231521BBD}">
      <text>
        <t>[Threaded comment]
Your version of Excel allows you to read this threaded comment; however, any edits to it will get removed if the file is opened in a newer version of Excel. Learn more: https://go.microsoft.com/fwlink/?linkid=870924
Comment:
    .122
.128</t>
      </text>
    </comment>
    <comment ref="Y36" authorId="16" shapeId="0" xr:uid="{0CA0683F-3138-45E4-9C9C-ECD3E741D26C}">
      <text>
        <t>[Threaded comment]
Your version of Excel allows you to read this threaded comment; however, any edits to it will get removed if the file is opened in a newer version of Excel. Learn more: https://go.microsoft.com/fwlink/?linkid=870924
Comment:
    .128</t>
      </text>
    </comment>
    <comment ref="Z36" authorId="17" shapeId="0" xr:uid="{196D9FD7-8CD7-4015-8E4C-2BB5379F2E6F}">
      <text>
        <t>[Threaded comment]
Your version of Excel allows you to read this threaded comment; however, any edits to it will get removed if the file is opened in a newer version of Excel. Learn more: https://go.microsoft.com/fwlink/?linkid=870924
Comment:
    .99
.147</t>
      </text>
    </comment>
    <comment ref="AA36" authorId="18" shapeId="0" xr:uid="{C4DC86C9-EB48-439D-8A26-0FD3BEACD03F}">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6" authorId="19" shapeId="0" xr:uid="{650FA1EE-E4E7-4F7C-BA5B-0A9776152DC0}">
      <text>
        <t>[Threaded comment]
Your version of Excel allows you to read this threaded comment; however, any edits to it will get removed if the file is opened in a newer version of Excel. Learn more: https://go.microsoft.com/fwlink/?linkid=870924
Comment:
    .127
.148
v
.257</t>
      </text>
    </comment>
    <comment ref="AC36" authorId="20" shapeId="0" xr:uid="{FD196DFD-1218-415B-8818-437D63685F33}">
      <text>
        <t>[Threaded comment]
Your version of Excel allows you to read this threaded comment; however, any edits to it will get removed if the file is opened in a newer version of Excel. Learn more: https://go.microsoft.com/fwlink/?linkid=870924
Comment:
    .127
.148
v
.257</t>
      </text>
    </comment>
    <comment ref="AD36" authorId="21" shapeId="0" xr:uid="{24916E09-6841-4EE6-AD3A-80B6C6C2A3FF}">
      <text>
        <t>[Threaded comment]
Your version of Excel allows you to read this threaded comment; however, any edits to it will get removed if the file is opened in a newer version of Excel. Learn more: https://go.microsoft.com/fwlink/?linkid=870924
Comment:
    .127
.148
v
.257</t>
      </text>
    </comment>
    <comment ref="AE36" authorId="22" shapeId="0" xr:uid="{D784AC77-7234-46C3-98C1-D237D17D532C}">
      <text>
        <t>[Threaded comment]
Your version of Excel allows you to read this threaded comment; however, any edits to it will get removed if the file is opened in a newer version of Excel. Learn more: https://go.microsoft.com/fwlink/?linkid=870924
Comment:
    .16
.98
.146
.149</t>
      </text>
    </comment>
    <comment ref="AF36" authorId="23" shapeId="0" xr:uid="{B0E727F0-EAD4-4B65-928A-CEA31E6DA2F0}">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A37" authorId="24" shapeId="0" xr:uid="{CCD5ECBC-950E-4A4B-9179-E50BAA44DAEC}">
      <text>
        <t>[Threaded comment]
Your version of Excel allows you to read this threaded comment; however, any edits to it will get removed if the file is opened in a newer version of Excel. Learn more: https://go.microsoft.com/fwlink/?linkid=870924
Comment:
    Proportionality defense
Reply:
    No FRAND defense</t>
      </text>
    </comment>
    <comment ref="AI38" authorId="25" shapeId="0" xr:uid="{8BC52B21-EEDA-4322-9C73-BD971CA90C6E}">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tc={915C8596-E41E-4387-8E41-48B4CECA1E37}</author>
    <author>tc={3395C403-A6C8-41D2-AB5A-F741B43E96BF}</author>
    <author>tc={0E04735B-33B8-4E0E-B8D1-14506178787A}</author>
    <author>tc={763B9050-1C66-48CD-AB7A-62557A21D0CE}</author>
    <author>tc={BECAD737-68E4-4735-932A-FEE04AA10BC8}</author>
    <author>tc={D50EBEF3-37FB-49A7-B9E6-C4E30EF6E1C1}</author>
    <author>tc={693A7B7D-3EED-49ED-B964-91ACE6A62AA6}</author>
    <author>tc={BA51A8B7-AFBF-4420-8EA2-CD570887F189}</author>
    <author>tc={67A7B4F1-70FD-43F2-A444-748A472A8F32}</author>
    <author>tc={E9A1D032-71AA-4BCF-80E4-EB9DB7D0E351}</author>
    <author>tc={8FABD2C6-7024-4E69-801B-B96CA7D37A86}</author>
    <author>tc={E5F146BF-9424-420F-9FB5-33CD87769BAF}</author>
    <author>tc={C36E35AD-5F37-4244-BDDF-3ADA5A61E62F}</author>
    <author>tc={5476C880-FE11-4D72-B473-9A1E20B070EC}</author>
    <author>tc={6982DC61-58CD-4B05-AB4F-CC08DB37D970}</author>
    <author>tc={0117148B-DD4F-4DFC-A49B-3A31207ED12E}</author>
    <author>tc={12AA17AF-AA30-452D-A08F-543FC090FECC}</author>
    <author>tc={E4A45B6E-0736-4C6D-AF9D-DAE9FCBD2406}</author>
    <author>tc={761B2507-7450-46E8-93A9-0467D739DC63}</author>
    <author>tc={71E49223-894A-4DA7-A095-4A35F88EB49B}</author>
    <author>tc={8E8AD0C9-EECE-4BFA-BFF3-6C26492A7E50}</author>
    <author>tc={32534AD0-EF40-4E1B-9943-936F2B716867}</author>
    <author>tc={D041C9A6-D486-47B2-B26F-929E37E94E84}</author>
    <author>tc={06649A3B-121A-4E57-BAA3-960C880FFBF2}</author>
    <author>tc={1E133940-D3A3-4F32-A0B9-11C3CE31EF8B}</author>
    <author>tc={1852E21B-B729-4985-9B61-CA61D7CCF41B}</author>
    <author>tc={E4EEB7C0-08E9-42A9-843D-C384749C21A3}</author>
    <author>tc={10ABD24C-0BB4-4257-B379-9619A034FD19}</author>
    <author>tc={7CF6C239-842A-440F-B24D-10163D2D0923}</author>
    <author>tc={C500AAE0-F245-4020-99E8-10E037695368}</author>
    <author>tc={F5B4C418-6555-4991-9A85-1B5E21D99A4A}</author>
    <author>tc={FB896350-1B13-4AD2-9D95-1F8B0C342F58}</author>
    <author>tc={7BC21219-4714-48C3-9B36-D011F10A33B3}</author>
    <author>tc={3CB20C93-D1C7-49B4-8FA8-398322DE739F}</author>
    <author>tc={8521DECB-5132-4EA1-97C1-66A1A9D290A0}</author>
    <author>tc={458569F3-D7A3-493B-890F-FBBC8CD52F48}</author>
    <author>tc={F8E49C8F-5B29-495D-9638-BA3AEE6F85EF}</author>
    <author>tc={6BD58535-9CA4-4761-A440-7FF6E6580A9B}</author>
    <author>tc={E19EC1A0-C73B-4067-904E-FD5F682BEB55}</author>
    <author>tc={C0C9DBE3-A10E-4554-9BBA-A1C927B80660}</author>
    <author>tc={9DEEC312-EF3E-4F40-904B-4437D3612902}</author>
    <author>tc={16E3E0BE-AE5A-41F6-96B1-BF399E3B9BD3}</author>
    <author>tc={C8B05CFF-46CB-47D8-BD80-C716F072FDAB}</author>
    <author>tc={F591BC7A-C8E6-4A39-B759-5213AC171A50}</author>
    <author>tc={B9C3848F-05A1-475C-9024-BACC9E80C470}</author>
    <author>tc={E5F2869B-B065-411C-9BD6-EF1B21303837}</author>
    <author>tc={19330A72-AC6E-4A4E-9075-6FE94FF8B5DE}</author>
    <author>tc={68727E6D-2090-42B3-8646-B201A7504303}</author>
    <author>tc={CF2A2DC3-3287-4CDD-8740-FCE647D8BB90}</author>
    <author>tc={02B3F433-F9CC-4AB0-94DD-84A62A4E432A}</author>
    <author>tc={47447F0E-76DA-4A8E-84A7-66D536B5EF9B}</author>
    <author>tc={A89ED7EA-8957-4A25-8188-ADEC5B313311}</author>
    <author>tc={B25351C2-4E58-44A5-A2D4-6417AC76ECFD}</author>
    <author>tc={84C96787-C341-404E-B21E-94B6BCA2A6B9}</author>
    <author>tc={FE5D4280-90A0-48AD-A63A-A9BB9BCD9416}</author>
    <author>tc={7CE24CC6-FB6A-444C-9C44-92E3E3ADB890}</author>
    <author>tc={7712B981-1EA6-4C02-A3E0-C3D4D5449D7F}</author>
    <author>tc={3C97387B-933E-44C2-BD9C-E7DC53C077C1}</author>
    <author>tc={BD325293-B1EF-4B36-AD71-293350ACBBE5}</author>
    <author>tc={7A298A1F-B6E2-46B6-BF5D-81253E416DB0}</author>
    <author>tc={3BF734DA-B0A4-46D8-A28D-1F3C30D3EE53}</author>
    <author>tc={872E5925-C8D7-4D1B-9D34-F985AFA6EBEF}</author>
    <author>tc={006F4B02-D13F-49E1-B4B4-709BD0164C8E}</author>
    <author>tc={74D6B7BF-2AF8-45F1-AC84-376BA37322A8}</author>
    <author>tc={5C138281-CC73-4742-99EF-CD21E5DCA6C1}</author>
    <author>tc={1747A55B-506F-43B9-83DF-8F10107F57F9}</author>
    <author>tc={B8C305FF-F59A-414A-94B4-2E8B2CD52A8B}</author>
    <author>tc={02A0BBB1-1689-456B-9AFD-D888E55122B9}</author>
    <author>tc={D67CA643-2A2D-41F9-8C6C-0A63F3EBE807}</author>
    <author>tc={AB691DF3-882A-4F92-80DD-83766A725640}</author>
    <author>tc={A2C9F3B7-9635-4501-B35A-47C3F1533436}</author>
    <author>tc={32773D98-9693-427A-89E3-FC968A5FD870}</author>
    <author>tc={8032DBE2-605A-4A16-9786-8BB93B4E82F3}</author>
    <author>tc={85F5BFDF-6328-4103-A4F1-CF925C833CD7}</author>
    <author>tc={882C2178-B17C-495E-B298-7C30C67344EB}</author>
    <author>tc={2BB44D05-7928-42AA-9891-DB9F7FAA570A}</author>
    <author>tc={D80FD525-4C76-4366-B16D-541057A807E4}</author>
    <author>tc={9CC90AED-5BF4-4FE0-89F1-98941AA76A46}</author>
    <author>tc={66CFBA34-B140-45BA-A278-45EF30C9B242}</author>
    <author>tc={E83A15CB-CD66-48EB-A3A5-63A0D540C133}</author>
    <author>tc={B912E535-D675-48D4-938C-671D0D68D93D}</author>
    <author>tc={44250ED0-8A00-4FC3-9168-14DEB552F6D0}</author>
    <author>tc={763B3EEE-5A12-49BF-A104-4CB84D4C71E4}</author>
    <author>tc={1C6EF3DC-1E7E-4F12-B1D4-9A0BC79AF2B0}</author>
    <author>tc={EC739C55-BEC4-420D-9CF9-5D02B9C0F2E6}</author>
    <author>tc={BE39797D-9EDE-4971-A61C-550E959348D8}</author>
    <author>tc={A9C8E43D-0EB6-4E54-9715-D27B884A12A8}</author>
    <author>tc={9B5D5CF9-547F-476A-9D08-8B9184A81EDE}</author>
    <author>tc={891FF218-914C-4630-B497-D077FF40FBAC}</author>
    <author>tc={F51A08C3-02FA-44BE-BE5B-F98B32CB57D1}</author>
    <author>tc={FAB4F2B2-6683-457D-A663-963E75B2AA62}</author>
    <author>tc={76291632-17B6-4565-A576-755EA8F58626}</author>
    <author>tc={2535AC86-5A9E-46DC-9893-8CB51B98FEDF}</author>
    <author>tc={C2606CB1-2525-4408-8991-C28F2D26864F}</author>
    <author>tc={E7262A19-F888-4AAF-AC71-597A26410877}</author>
  </authors>
  <commentList>
    <comment ref="D2" authorId="0" shapeId="0" xr:uid="{915C8596-E41E-4387-8E41-48B4CECA1E37}">
      <text>
        <t>[Threaded comment]
Your version of Excel allows you to read this threaded comment; however, any edits to it will get removed if the file is opened in a newer version of Excel. Learn more: https://go.microsoft.com/fwlink/?linkid=870924
Comment:
    .44</t>
      </text>
    </comment>
    <comment ref="E2" authorId="1" shapeId="0" xr:uid="{3395C403-A6C8-41D2-AB5A-F741B43E96BF}">
      <text>
        <t>[Threaded comment]
Your version of Excel allows you to read this threaded comment; however, any edits to it will get removed if the file is opened in a newer version of Excel. Learn more: https://go.microsoft.com/fwlink/?linkid=870924
Comment:
    .44</t>
      </text>
    </comment>
    <comment ref="C3" authorId="2" shapeId="0" xr:uid="{0E04735B-33B8-4E0E-B8D1-14506178787A}">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D3" authorId="3" shapeId="0" xr:uid="{763B9050-1C66-48CD-AB7A-62557A21D0CE}">
      <text>
        <t>[Threaded comment]
Your version of Excel allows you to read this threaded comment; however, any edits to it will get removed if the file is opened in a newer version of Excel. Learn more: https://go.microsoft.com/fwlink/?linkid=870924
Comment:
    .20</t>
      </text>
    </comment>
    <comment ref="E3" authorId="4" shapeId="0" xr:uid="{BECAD737-68E4-4735-932A-FEE04AA10BC8}">
      <text>
        <t>[Threaded comment]
Your version of Excel allows you to read this threaded comment; however, any edits to it will get removed if the file is opened in a newer version of Excel. Learn more: https://go.microsoft.com/fwlink/?linkid=870924
Comment:
    .20</t>
      </text>
    </comment>
    <comment ref="D4" authorId="5" shapeId="0" xr:uid="{D50EBEF3-37FB-49A7-B9E6-C4E30EF6E1C1}">
      <text>
        <t>[Threaded comment]
Your version of Excel allows you to read this threaded comment; however, any edits to it will get removed if the file is opened in a newer version of Excel. Learn more: https://go.microsoft.com/fwlink/?linkid=870924
Comment:
    .21</t>
      </text>
    </comment>
    <comment ref="E4" authorId="6" shapeId="0" xr:uid="{693A7B7D-3EED-49ED-B964-91ACE6A62AA6}">
      <text>
        <t>[Threaded comment]
Your version of Excel allows you to read this threaded comment; however, any edits to it will get removed if the file is opened in a newer version of Excel. Learn more: https://go.microsoft.com/fwlink/?linkid=870924
Comment:
    .21</t>
      </text>
    </comment>
    <comment ref="D5" authorId="7" shapeId="0" xr:uid="{BA51A8B7-AFBF-4420-8EA2-CD570887F189}">
      <text>
        <t>[Threaded comment]
Your version of Excel allows you to read this threaded comment; however, any edits to it will get removed if the file is opened in a newer version of Excel. Learn more: https://go.microsoft.com/fwlink/?linkid=870924
Comment:
    .24</t>
      </text>
    </comment>
    <comment ref="E5" authorId="8" shapeId="0" xr:uid="{67A7B4F1-70FD-43F2-A444-748A472A8F32}">
      <text>
        <t>[Threaded comment]
Your version of Excel allows you to read this threaded comment; however, any edits to it will get removed if the file is opened in a newer version of Excel. Learn more: https://go.microsoft.com/fwlink/?linkid=870924
Comment:
    .24</t>
      </text>
    </comment>
    <comment ref="D6" authorId="9" shapeId="0" xr:uid="{E9A1D032-71AA-4BCF-80E4-EB9DB7D0E351}">
      <text>
        <t>[Threaded comment]
Your version of Excel allows you to read this threaded comment; however, any edits to it will get removed if the file is opened in a newer version of Excel. Learn more: https://go.microsoft.com/fwlink/?linkid=870924
Comment:
    .24</t>
      </text>
    </comment>
    <comment ref="E6" authorId="10" shapeId="0" xr:uid="{8FABD2C6-7024-4E69-801B-B96CA7D37A86}">
      <text>
        <t>[Threaded comment]
Your version of Excel allows you to read this threaded comment; however, any edits to it will get removed if the file is opened in a newer version of Excel. Learn more: https://go.microsoft.com/fwlink/?linkid=870924
Comment:
    .24</t>
      </text>
    </comment>
    <comment ref="D7" authorId="11" shapeId="0" xr:uid="{E5F146BF-9424-420F-9FB5-33CD87769BAF}">
      <text>
        <t>[Threaded comment]
Your version of Excel allows you to read this threaded comment; however, any edits to it will get removed if the file is opened in a newer version of Excel. Learn more: https://go.microsoft.com/fwlink/?linkid=870924
Comment:
    .27</t>
      </text>
    </comment>
    <comment ref="E7" authorId="12" shapeId="0" xr:uid="{C36E35AD-5F37-4244-BDDF-3ADA5A61E62F}">
      <text>
        <t>[Threaded comment]
Your version of Excel allows you to read this threaded comment; however, any edits to it will get removed if the file is opened in a newer version of Excel. Learn more: https://go.microsoft.com/fwlink/?linkid=870924
Comment:
    .27</t>
      </text>
    </comment>
    <comment ref="D8" authorId="13" shapeId="0" xr:uid="{5476C880-FE11-4D72-B473-9A1E20B070EC}">
      <text>
        <t>[Threaded comment]
Your version of Excel allows you to read this threaded comment; however, any edits to it will get removed if the file is opened in a newer version of Excel. Learn more: https://go.microsoft.com/fwlink/?linkid=870924
Comment:
    .17</t>
      </text>
    </comment>
    <comment ref="E8" authorId="14" shapeId="0" xr:uid="{6982DC61-58CD-4B05-AB4F-CC08DB37D970}">
      <text>
        <t>[Threaded comment]
Your version of Excel allows you to read this threaded comment; however, any edits to it will get removed if the file is opened in a newer version of Excel. Learn more: https://go.microsoft.com/fwlink/?linkid=870924
Comment:
    .17</t>
      </text>
    </comment>
    <comment ref="D9" authorId="15" shapeId="0" xr:uid="{0117148B-DD4F-4DFC-A49B-3A31207ED12E}">
      <text>
        <t>[Threaded comment]
Your version of Excel allows you to read this threaded comment; however, any edits to it will get removed if the file is opened in a newer version of Excel. Learn more: https://go.microsoft.com/fwlink/?linkid=870924
Comment:
    .61-.66</t>
      </text>
    </comment>
    <comment ref="E9" authorId="16" shapeId="0" xr:uid="{12AA17AF-AA30-452D-A08F-543FC090FECC}">
      <text>
        <t>[Threaded comment]
Your version of Excel allows you to read this threaded comment; however, any edits to it will get removed if the file is opened in a newer version of Excel. Learn more: https://go.microsoft.com/fwlink/?linkid=870924
Comment:
    .61-.66</t>
      </text>
    </comment>
    <comment ref="D10" authorId="17" shapeId="0" xr:uid="{E4A45B6E-0736-4C6D-AF9D-DAE9FCBD2406}">
      <text>
        <t>[Threaded comment]
Your version of Excel allows you to read this threaded comment; however, any edits to it will get removed if the file is opened in a newer version of Excel. Learn more: https://go.microsoft.com/fwlink/?linkid=870924
Comment:
    .66</t>
      </text>
    </comment>
    <comment ref="E10" authorId="18" shapeId="0" xr:uid="{761B2507-7450-46E8-93A9-0467D739DC63}">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D11" authorId="19" shapeId="0" xr:uid="{71E49223-894A-4DA7-A095-4A35F88EB49B}">
      <text>
        <t>[Threaded comment]
Your version of Excel allows you to read this threaded comment; however, any edits to it will get removed if the file is opened in a newer version of Excel. Learn more: https://go.microsoft.com/fwlink/?linkid=870924
Comment:
    .39
.339</t>
      </text>
    </comment>
    <comment ref="E11" authorId="20" shapeId="0" xr:uid="{8E8AD0C9-EECE-4BFA-BFF3-6C26492A7E50}">
      <text>
        <t>[Threaded comment]
Your version of Excel allows you to read this threaded comment; however, any edits to it will get removed if the file is opened in a newer version of Excel. Learn more: https://go.microsoft.com/fwlink/?linkid=870924
Comment:
    .39
.339</t>
      </text>
    </comment>
    <comment ref="D12" authorId="21" shapeId="0" xr:uid="{32534AD0-EF40-4E1B-9943-936F2B716867}">
      <text>
        <t>[Threaded comment]
Your version of Excel allows you to read this threaded comment; however, any edits to it will get removed if the file is opened in a newer version of Excel. Learn more: https://go.microsoft.com/fwlink/?linkid=870924
Comment:
    .211</t>
      </text>
    </comment>
    <comment ref="E12" authorId="22" shapeId="0" xr:uid="{D041C9A6-D486-47B2-B26F-929E37E94E84}">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D13" authorId="23" shapeId="0" xr:uid="{06649A3B-121A-4E57-BAA3-960C880FFBF2}">
      <text>
        <t>[Threaded comment]
Your version of Excel allows you to read this threaded comment; however, any edits to it will get removed if the file is opened in a newer version of Excel. Learn more: https://go.microsoft.com/fwlink/?linkid=870924
Comment:
    .96</t>
      </text>
    </comment>
    <comment ref="E13" authorId="24" shapeId="0" xr:uid="{1E133940-D3A3-4F32-A0B9-11C3CE31EF8B}">
      <text>
        <t>[Threaded comment]
Your version of Excel allows you to read this threaded comment; however, any edits to it will get removed if the file is opened in a newer version of Excel. Learn more: https://go.microsoft.com/fwlink/?linkid=870924
Comment:
    .96</t>
      </text>
    </comment>
    <comment ref="G13" authorId="25" shapeId="0" xr:uid="{1852E21B-B729-4985-9B61-CA61D7CCF41B}">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D14" authorId="26" shapeId="0" xr:uid="{E4EEB7C0-08E9-42A9-843D-C384749C21A3}">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E14" authorId="27" shapeId="0" xr:uid="{10ABD24C-0BB4-4257-B379-9619A034FD19}">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D15" authorId="28" shapeId="0" xr:uid="{7CF6C239-842A-440F-B24D-10163D2D0923}">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E15" authorId="29" shapeId="0" xr:uid="{C500AAE0-F245-4020-99E8-10E037695368}">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S15" authorId="30" shapeId="0" xr:uid="{F5B4C418-6555-4991-9A85-1B5E21D99A4A}">
      <text>
        <t>[Threaded comment]
Your version of Excel allows you to read this threaded comment; however, any edits to it will get removed if the file is opened in a newer version of Excel. Learn more: https://go.microsoft.com/fwlink/?linkid=870924
Comment:
    .283?
.299?</t>
      </text>
    </comment>
    <comment ref="D16" authorId="31" shapeId="0" xr:uid="{FB896350-1B13-4AD2-9D95-1F8B0C342F58}">
      <text>
        <t>[Threaded comment]
Your version of Excel allows you to read this threaded comment; however, any edits to it will get removed if the file is opened in a newer version of Excel. Learn more: https://go.microsoft.com/fwlink/?linkid=870924
Comment:
    .98</t>
      </text>
    </comment>
    <comment ref="E16" authorId="32" shapeId="0" xr:uid="{7BC21219-4714-48C3-9B36-D011F10A33B3}">
      <text>
        <t>[Threaded comment]
Your version of Excel allows you to read this threaded comment; however, any edits to it will get removed if the file is opened in a newer version of Excel. Learn more: https://go.microsoft.com/fwlink/?linkid=870924
Comment:
    .98</t>
      </text>
    </comment>
    <comment ref="S16" authorId="33" shapeId="0" xr:uid="{3CB20C93-D1C7-49B4-8FA8-398322DE739F}">
      <text>
        <t>[Threaded comment]
Your version of Excel allows you to read this threaded comment; however, any edits to it will get removed if the file is opened in a newer version of Excel. Learn more: https://go.microsoft.com/fwlink/?linkid=870924
Comment:
    .325?
.341?</t>
      </text>
    </comment>
    <comment ref="D17" authorId="34" shapeId="0" xr:uid="{8521DECB-5132-4EA1-97C1-66A1A9D290A0}">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E17" authorId="35" shapeId="0" xr:uid="{458569F3-D7A3-493B-890F-FBBC8CD52F48}">
      <text>
        <t>[Threaded comment]
Your version of Excel allows you to read this threaded comment; however, any edits to it will get removed if the file is opened in a newer version of Excel. Learn more: https://go.microsoft.com/fwlink/?linkid=870924
Comment:
    .8</t>
      </text>
    </comment>
    <comment ref="G17" authorId="36" shapeId="0" xr:uid="{F8E49C8F-5B29-495D-9638-BA3AEE6F85EF}">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D18" authorId="37" shapeId="0" xr:uid="{6BD58535-9CA4-4761-A440-7FF6E6580A9B}">
      <text>
        <t>[Threaded comment]
Your version of Excel allows you to read this threaded comment; however, any edits to it will get removed if the file is opened in a newer version of Excel. Learn more: https://go.microsoft.com/fwlink/?linkid=870924
Comment:
    .11</t>
      </text>
    </comment>
    <comment ref="E18" authorId="38" shapeId="0" xr:uid="{E19EC1A0-C73B-4067-904E-FD5F682BEB55}">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D19" authorId="39" shapeId="0" xr:uid="{C0C9DBE3-A10E-4554-9BBA-A1C927B80660}">
      <text>
        <t>[Threaded comment]
Your version of Excel allows you to read this threaded comment; however, any edits to it will get removed if the file is opened in a newer version of Excel. Learn more: https://go.microsoft.com/fwlink/?linkid=870924
Comment:
    .16</t>
      </text>
    </comment>
    <comment ref="E19" authorId="40" shapeId="0" xr:uid="{9DEEC312-EF3E-4F40-904B-4437D3612902}">
      <text>
        <t>[Threaded comment]
Your version of Excel allows you to read this threaded comment; however, any edits to it will get removed if the file is opened in a newer version of Excel. Learn more: https://go.microsoft.com/fwlink/?linkid=870924
Comment:
    .16</t>
      </text>
    </comment>
    <comment ref="D20" authorId="41" shapeId="0" xr:uid="{16E3E0BE-AE5A-41F6-96B1-BF399E3B9BD3}">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E20" authorId="42" shapeId="0" xr:uid="{C8B05CFF-46CB-47D8-BD80-C716F072FDAB}">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D21" authorId="43" shapeId="0" xr:uid="{F591BC7A-C8E6-4A39-B759-5213AC171A50}">
      <text>
        <t>[Threaded comment]
Your version of Excel allows you to read this threaded comment; however, any edits to it will get removed if the file is opened in a newer version of Excel. Learn more: https://go.microsoft.com/fwlink/?linkid=870924
Comment:
    Seite 5.</t>
      </text>
    </comment>
    <comment ref="E21" authorId="44" shapeId="0" xr:uid="{B9C3848F-05A1-475C-9024-BACC9E80C470}">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D22" authorId="45" shapeId="0" xr:uid="{E5F2869B-B065-411C-9BD6-EF1B21303837}">
      <text>
        <t>[Threaded comment]
Your version of Excel allows you to read this threaded comment; however, any edits to it will get removed if the file is opened in a newer version of Excel. Learn more: https://go.microsoft.com/fwlink/?linkid=870924
Comment:
    6.</t>
      </text>
    </comment>
    <comment ref="E22" authorId="46" shapeId="0" xr:uid="{19330A72-AC6E-4A4E-9075-6FE94FF8B5DE}">
      <text>
        <t>[Threaded comment]
Your version of Excel allows you to read this threaded comment; however, any edits to it will get removed if the file is opened in a newer version of Excel. Learn more: https://go.microsoft.com/fwlink/?linkid=870924
Comment:
    6.</t>
      </text>
    </comment>
    <comment ref="D23" authorId="47" shapeId="0" xr:uid="{68727E6D-2090-42B3-8646-B201A7504303}">
      <text>
        <t>[Threaded comment]
Your version of Excel allows you to read this threaded comment; however, any edits to it will get removed if the file is opened in a newer version of Excel. Learn more: https://go.microsoft.com/fwlink/?linkid=870924
Comment:
    .6</t>
      </text>
    </comment>
    <comment ref="E23" authorId="48" shapeId="0" xr:uid="{CF2A2DC3-3287-4CDD-8740-FCE647D8BB90}">
      <text>
        <t>[Threaded comment]
Your version of Excel allows you to read this threaded comment; however, any edits to it will get removed if the file is opened in a newer version of Excel. Learn more: https://go.microsoft.com/fwlink/?linkid=870924
Comment:
    6.</t>
      </text>
    </comment>
    <comment ref="D24" authorId="49" shapeId="0" xr:uid="{02B3F433-F9CC-4AB0-94DD-84A62A4E432A}">
      <text>
        <t>[Threaded comment]
Your version of Excel allows you to read this threaded comment; however, any edits to it will get removed if the file is opened in a newer version of Excel. Learn more: https://go.microsoft.com/fwlink/?linkid=870924
Comment:
    Seite 5.</t>
      </text>
    </comment>
    <comment ref="E24" authorId="50" shapeId="0" xr:uid="{47447F0E-76DA-4A8E-84A7-66D536B5EF9B}">
      <text>
        <t>[Threaded comment]
Your version of Excel allows you to read this threaded comment; however, any edits to it will get removed if the file is opened in a newer version of Excel. Learn more: https://go.microsoft.com/fwlink/?linkid=870924
Comment:
    Seite 5.</t>
      </text>
    </comment>
    <comment ref="D25" authorId="51" shapeId="0" xr:uid="{A89ED7EA-8957-4A25-8188-ADEC5B313311}">
      <text>
        <t>[Threaded comment]
Your version of Excel allows you to read this threaded comment; however, any edits to it will get removed if the file is opened in a newer version of Excel. Learn more: https://go.microsoft.com/fwlink/?linkid=870924
Comment:
    Seite 8.</t>
      </text>
    </comment>
    <comment ref="E25" authorId="52" shapeId="0" xr:uid="{B25351C2-4E58-44A5-A2D4-6417AC76ECFD}">
      <text>
        <t>[Threaded comment]
Your version of Excel allows you to read this threaded comment; however, any edits to it will get removed if the file is opened in a newer version of Excel. Learn more: https://go.microsoft.com/fwlink/?linkid=870924
Comment:
    Seite 8.</t>
      </text>
    </comment>
    <comment ref="G25" authorId="53" shapeId="0" xr:uid="{84C96787-C341-404E-B21E-94B6BCA2A6B9}">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D26" authorId="54" shapeId="0" xr:uid="{FE5D4280-90A0-48AD-A63A-A9BB9BCD9416}">
      <text>
        <t>[Threaded comment]
Your version of Excel allows you to read this threaded comment; however, any edits to it will get removed if the file is opened in a newer version of Excel. Learn more: https://go.microsoft.com/fwlink/?linkid=870924
Comment:
    Seite 4, 1.</t>
      </text>
    </comment>
    <comment ref="E26" authorId="55" shapeId="0" xr:uid="{7CE24CC6-FB6A-444C-9C44-92E3E3ADB89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G26" authorId="56" shapeId="0" xr:uid="{7712B981-1EA6-4C02-A3E0-C3D4D5449D7F}">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7" authorId="57" shapeId="0" xr:uid="{3C97387B-933E-44C2-BD9C-E7DC53C077C1}">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E27" authorId="58" shapeId="0" xr:uid="{BD325293-B1EF-4B36-AD71-293350ACBBE5}">
      <text>
        <t>[Threaded comment]
Your version of Excel allows you to read this threaded comment; however, any edits to it will get removed if the file is opened in a newer version of Excel. Learn more: https://go.microsoft.com/fwlink/?linkid=870924
Comment:
    Seite 14.</t>
      </text>
    </comment>
    <comment ref="B28" authorId="59" shapeId="0" xr:uid="{7A298A1F-B6E2-46B6-BF5D-81253E416DB0}">
      <text>
        <t>[Threaded comment]
Your version of Excel allows you to read this threaded comment; however, any edits to it will get removed if the file is opened in a newer version of Excel. Learn more: https://go.microsoft.com/fwlink/?linkid=870924
Comment:
    09.09.2021</t>
      </text>
    </comment>
    <comment ref="D28" authorId="60" shapeId="0" xr:uid="{3BF734DA-B0A4-46D8-A28D-1F3C30D3EE53}">
      <text>
        <t>[Threaded comment]
Your version of Excel allows you to read this threaded comment; however, any edits to it will get removed if the file is opened in a newer version of Excel. Learn more: https://go.microsoft.com/fwlink/?linkid=870924
Comment:
    .113-.115</t>
      </text>
    </comment>
    <comment ref="E28" authorId="61" shapeId="0" xr:uid="{872E5925-C8D7-4D1B-9D34-F985AFA6EBEF}">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G30" authorId="62" shapeId="0" xr:uid="{006F4B02-D13F-49E1-B4B4-709BD0164C8E}">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D31" authorId="63" shapeId="0" xr:uid="{74D6B7BF-2AF8-45F1-AC84-376BA37322A8}">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G31" authorId="64" shapeId="0" xr:uid="{5C138281-CC73-4742-99EF-CD21E5DCA6C1}">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D33" authorId="65" shapeId="0" xr:uid="{1747A55B-506F-43B9-83DF-8F10107F57F9}">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E33" authorId="66" shapeId="0" xr:uid="{B8C305FF-F59A-414A-94B4-2E8B2CD52A8B}">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D34" authorId="67" shapeId="0" xr:uid="{02A0BBB1-1689-456B-9AFD-D888E55122B9}">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E34" authorId="68" shapeId="0" xr:uid="{D67CA643-2A2D-41F9-8C6C-0A63F3EBE807}">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D35" authorId="69" shapeId="0" xr:uid="{AB691DF3-882A-4F92-80DD-83766A725640}">
      <text>
        <t>[Threaded comment]
Your version of Excel allows you to read this threaded comment; however, any edits to it will get removed if the file is opened in a newer version of Excel. Learn more: https://go.microsoft.com/fwlink/?linkid=870924
Comment:
    .99
.147</t>
      </text>
    </comment>
    <comment ref="E35" authorId="70" shapeId="0" xr:uid="{A2C9F3B7-9635-4501-B35A-47C3F1533436}">
      <text>
        <t>[Threaded comment]
Your version of Excel allows you to read this threaded comment; however, any edits to it will get removed if the file is opened in a newer version of Excel. Learn more: https://go.microsoft.com/fwlink/?linkid=870924
Comment:
    .99
.147</t>
      </text>
    </comment>
    <comment ref="D36" authorId="71" shapeId="0" xr:uid="{32773D98-9693-427A-89E3-FC968A5FD870}">
      <text>
        <t>[Threaded comment]
Your version of Excel allows you to read this threaded comment; however, any edits to it will get removed if the file is opened in a newer version of Excel. Learn more: https://go.microsoft.com/fwlink/?linkid=870924
Comment:
    .22</t>
      </text>
    </comment>
    <comment ref="E36" authorId="72" shapeId="0" xr:uid="{8032DBE2-605A-4A16-9786-8BB93B4E82F3}">
      <text>
        <t>[Threaded comment]
Your version of Excel allows you to read this threaded comment; however, any edits to it will get removed if the file is opened in a newer version of Excel. Learn more: https://go.microsoft.com/fwlink/?linkid=870924
Comment:
    .22</t>
      </text>
    </comment>
    <comment ref="D37" authorId="73" shapeId="0" xr:uid="{85F5BFDF-6328-4103-A4F1-CF925C833CD7}">
      <text>
        <t>[Threaded comment]
Your version of Excel allows you to read this threaded comment; however, any edits to it will get removed if the file is opened in a newer version of Excel. Learn more: https://go.microsoft.com/fwlink/?linkid=870924
Comment:
    .23</t>
      </text>
    </comment>
    <comment ref="E37" authorId="74" shapeId="0" xr:uid="{882C2178-B17C-495E-B298-7C30C67344EB}">
      <text>
        <t>[Threaded comment]
Your version of Excel allows you to read this threaded comment; however, any edits to it will get removed if the file is opened in a newer version of Excel. Learn more: https://go.microsoft.com/fwlink/?linkid=870924
Comment:
    .23</t>
      </text>
    </comment>
    <comment ref="C38" authorId="75" shapeId="0" xr:uid="{2BB44D05-7928-42AA-9891-DB9F7FAA570A}">
      <text>
        <t>[Threaded comment]
Your version of Excel allows you to read this threaded comment; however, any edits to it will get removed if the file is opened in a newer version of Excel. Learn more: https://go.microsoft.com/fwlink/?linkid=870924
Comment:
    .15</t>
      </text>
    </comment>
    <comment ref="G38" authorId="76" shapeId="0" xr:uid="{D80FD525-4C76-4366-B16D-541057A807E4}">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G39" authorId="77" shapeId="0" xr:uid="{9CC90AED-5BF4-4FE0-89F1-98941AA76A46}">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B40" authorId="78" shapeId="0" xr:uid="{66CFBA34-B140-45BA-A278-45EF30C9B242}">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0" authorId="79" shapeId="0" xr:uid="{E83A15CB-CD66-48EB-A3A5-63A0D540C133}">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0" authorId="80" shapeId="0" xr:uid="{B912E535-D675-48D4-938C-671D0D68D93D}">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B41" authorId="81" shapeId="0" xr:uid="{44250ED0-8A00-4FC3-9168-14DEB552F6D0}">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1" authorId="82" shapeId="0" xr:uid="{763B3EEE-5A12-49BF-A104-4CB84D4C71E4}">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1" authorId="83" shapeId="0" xr:uid="{1C6EF3DC-1E7E-4F12-B1D4-9A0BC79AF2B0}">
      <text>
        <t>[Threaded comment]
Your version of Excel allows you to read this threaded comment; however, any edits to it will get removed if the file is opened in a newer version of Excel. Learn more: https://go.microsoft.com/fwlink/?linkid=870924
Comment:
    Seite 6
Seite 35, d).</t>
      </text>
    </comment>
    <comment ref="D42" authorId="84" shapeId="0" xr:uid="{EC739C55-BEC4-420D-9CF9-5D02B9C0F2E6}">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E42" authorId="85" shapeId="0" xr:uid="{BE39797D-9EDE-4971-A61C-550E959348D8}">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D43" authorId="86" shapeId="0" xr:uid="{A9C8E43D-0EB6-4E54-9715-D27B884A12A8}">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E43" authorId="87" shapeId="0" xr:uid="{9B5D5CF9-547F-476A-9D08-8B9184A81EDE}">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D44" authorId="88" shapeId="0" xr:uid="{891FF218-914C-4630-B497-D077FF40FBAC}">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E44" authorId="89" shapeId="0" xr:uid="{F51A08C3-02FA-44BE-BE5B-F98B32CB57D1}">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D45" authorId="90" shapeId="0" xr:uid="{FAB4F2B2-6683-457D-A663-963E75B2AA62}">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E45" authorId="91" shapeId="0" xr:uid="{76291632-17B6-4565-A576-755EA8F58626}">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G45" authorId="92" shapeId="0" xr:uid="{2535AC86-5A9E-46DC-9893-8CB51B98FEDF}">
      <text>
        <t>[Threaded comment]
Your version of Excel allows you to read this threaded comment; however, any edits to it will get removed if the file is opened in a newer version of Excel. Learn more: https://go.microsoft.com/fwlink/?linkid=870924
Comment:
    Siete 33, VI.</t>
      </text>
    </comment>
    <comment ref="D46" authorId="93" shapeId="0" xr:uid="{C2606CB1-2525-4408-8991-C28F2D26864F}">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E46" authorId="94" shapeId="0" xr:uid="{E7262A19-F888-4AAF-AC71-597A26410877}">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tc={8E633B5C-1C42-4F1B-9236-FC2DEABD44FD}</author>
    <author>tc={801AD1A9-177B-40E0-AD38-0B06EEFFC327}</author>
    <author>tc={22532E8F-4965-4084-8274-AD038F574ADC}</author>
    <author>tc={2C66D17F-3173-4EF2-95E5-5666F6F48FCB}</author>
    <author>tc={24162456-A381-4AA4-A3C0-1C12F826CCE0}</author>
    <author>tc={E123C8EE-C14B-47A3-9D0C-08926D3846FB}</author>
    <author>tc={19DA943C-AD8E-4813-953F-B53A830117C8}</author>
    <author>tc={FD71348B-4618-475B-86A6-602EE0B4C818}</author>
    <author>tc={8FD144BD-4B52-47DE-B7D7-75FD423454F7}</author>
    <author>tc={02FA45F6-CD9A-4F81-AC8F-376B560843E2}</author>
    <author>tc={4899C66E-0478-47FF-AACF-4EBA30BCEEEE}</author>
    <author>tc={5F21B82A-7527-498D-9F14-302396D7093C}</author>
    <author>tc={5CB4F4A8-CA36-4923-9BC4-50EE9ABE9794}</author>
    <author>tc={43861C12-820F-4F15-8295-BBFF43E85D83}</author>
    <author>tc={212A0A85-4B47-46E4-9B3C-9D2AAD281887}</author>
    <author>tc={B50250ED-C003-4651-9E94-4973C7FD2A1A}</author>
    <author>tc={71992B9E-6C09-4880-8932-8FEA3339DA36}</author>
    <author>tc={CFD260EE-C781-45B4-AD06-A0A3E03EB10F}</author>
    <author>tc={32A4E8BD-1CB6-44E5-803E-241AB255F227}</author>
    <author>tc={E6237893-CF32-453C-9100-A8B11AAB7751}</author>
    <author>tc={FC9964B1-98B5-409A-A252-D3449EBF12AF}</author>
    <author>tc={359E0825-BACC-4B31-B549-193B2395B33A}</author>
    <author>tc={EE7D0CB3-88B4-4E46-B3E0-D9BAA328F0C7}</author>
    <author>tc={FAF5B218-070B-45BE-B110-8F7B1C8B81D8}</author>
    <author>tc={4D5BB3EE-005C-45C2-8A0E-D7E2E45564DB}</author>
    <author>tc={53EB2C4A-B146-421F-9694-F2E1E6344C5A}</author>
    <author>tc={55CD50B4-5A2E-4B15-BEA6-A53BB7DC188B}</author>
    <author>tc={32E38E9A-B4C5-420B-A74E-FEFED847AFDE}</author>
    <author>tc={8B531531-C8CD-43B9-8828-42DD66AF90A7}</author>
    <author>tc={5C7004C4-D8D6-47E9-9119-62617F84A564}</author>
    <author>tc={F10E3C77-30B8-430B-8F81-C49007DBA52D}</author>
    <author>tc={CF7F40C4-648E-42F9-ADE0-237D5137E220}</author>
    <author>tc={5F61D4A0-5533-4914-A6C1-05FD360AC451}</author>
    <author>tc={178F12AA-02C9-4150-87E2-EA5870DAC209}</author>
    <author>tc={B549275E-80BB-4560-A8EC-ECE330BB9F8B}</author>
    <author>tc={ED216E9D-8A6A-49DF-9FC3-1FBCDE55F43D}</author>
    <author>tc={9E33C6E2-6004-4CB5-BF87-EAC9340BF51B}</author>
    <author>tc={43B9FCFA-1570-4A5E-B915-2DB63D8F2F3F}</author>
    <author>tc={2018DAFE-55DE-4FC5-A39E-50A08808230B}</author>
    <author>tc={492540C2-BEEB-405F-B775-FABF9A3CE58D}</author>
    <author>tc={B06D5D71-9FAC-43AB-B3BA-BC782B7D2F06}</author>
    <author>tc={181A8FB7-E331-4F41-97F5-FA80B771B555}</author>
  </authors>
  <commentList>
    <comment ref="F3" authorId="0" shapeId="0" xr:uid="{8E633B5C-1C42-4F1B-9236-FC2DEABD44FD}">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J4" authorId="1" shapeId="0" xr:uid="{801AD1A9-177B-40E0-AD38-0B06EEFFC327}">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C13" authorId="2" shapeId="0" xr:uid="{22532E8F-4965-4084-8274-AD038F574ADC}">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M14" authorId="3" shapeId="0" xr:uid="{2C66D17F-3173-4EF2-95E5-5666F6F48FC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M15" authorId="4" shapeId="0" xr:uid="{24162456-A381-4AA4-A3C0-1C12F826CCE0}">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C17" authorId="5" shapeId="0" xr:uid="{E123C8EE-C14B-47A3-9D0C-08926D3846FB}">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J17" authorId="6" shapeId="0" xr:uid="{19DA943C-AD8E-4813-953F-B53A830117C8}">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M17" authorId="7" shapeId="0" xr:uid="{FD71348B-4618-475B-86A6-602EE0B4C818}">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M21" authorId="8" shapeId="0" xr:uid="{8FD144BD-4B52-47DE-B7D7-75FD423454F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J22" authorId="9" shapeId="0" xr:uid="{02FA45F6-CD9A-4F81-AC8F-376B560843E2}">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22" authorId="10" shapeId="0" xr:uid="{4899C66E-0478-47FF-AACF-4EBA30BCEEEE}">
      <text>
        <t>[Threaded comment]
Your version of Excel allows you to read this threaded comment; however, any edits to it will get removed if the file is opened in a newer version of Excel. Learn more: https://go.microsoft.com/fwlink/?linkid=870924
Comment:
    Darts</t>
      </text>
    </comment>
    <comment ref="M23" authorId="11" shapeId="0" xr:uid="{5F21B82A-7527-498D-9F14-302396D7093C}">
      <text>
        <t>[Threaded comment]
Your version of Excel allows you to read this threaded comment; however, any edits to it will get removed if the file is opened in a newer version of Excel. Learn more: https://go.microsoft.com/fwlink/?linkid=870924
Comment:
    Darts</t>
      </text>
    </comment>
    <comment ref="J24" authorId="12" shapeId="0" xr:uid="{5CB4F4A8-CA36-4923-9BC4-50EE9ABE9794}">
      <text>
        <t>[Threaded comment]
Your version of Excel allows you to read this threaded comment; however, any edits to it will get removed if the file is opened in a newer version of Excel. Learn more: https://go.microsoft.com/fwlink/?linkid=870924
Comment:
    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Reply:
    Anlagenkonvolut der Entgegenhaltungen aus dem parallelen Nichtigkeitsverfahren zu EP 1 062 744 
Reply:
    5 Ni 23/10(EP)</t>
      </text>
    </comment>
    <comment ref="C25" authorId="13" shapeId="0" xr:uid="{43861C12-820F-4F15-8295-BBFF43E85D83}">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M25" authorId="14" shapeId="0" xr:uid="{212A0A85-4B47-46E4-9B3C-9D2AAD28188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C26" authorId="15" shapeId="0" xr:uid="{B50250ED-C003-4651-9E94-4973C7FD2A1A}">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8" authorId="16" shapeId="0" xr:uid="{71992B9E-6C09-4880-8932-8FEA3339DA36}">
      <text>
        <t>[Threaded comment]
Your version of Excel allows you to read this threaded comment; however, any edits to it will get removed if the file is opened in a newer version of Excel. Learn more: https://go.microsoft.com/fwlink/?linkid=870924
Comment:
    09.09.2021</t>
      </text>
    </comment>
    <comment ref="J28" authorId="17" shapeId="0" xr:uid="{CFD260EE-C781-45B4-AD06-A0A3E03EB10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M28" authorId="18" shapeId="0" xr:uid="{32A4E8BD-1CB6-44E5-803E-241AB255F227}">
      <text>
        <t>[Threaded comment]
Your version of Excel allows you to read this threaded comment; however, any edits to it will get removed if the file is opened in a newer version of Excel. Learn more: https://go.microsoft.com/fwlink/?linkid=870924
Comment:
    Darts</t>
      </text>
    </comment>
    <comment ref="C30" authorId="19" shapeId="0" xr:uid="{E6237893-CF32-453C-9100-A8B11AAB7751}">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J30" authorId="20" shapeId="0" xr:uid="{FC9964B1-98B5-409A-A252-D3449EBF12AF}">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C31" authorId="21" shapeId="0" xr:uid="{359E0825-BACC-4B31-B549-193B2395B33A}">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M33" authorId="22" shapeId="0" xr:uid="{EE7D0CB3-88B4-4E46-B3E0-D9BAA328F0C7}">
      <text>
        <t>[Threaded comment]
Your version of Excel allows you to read this threaded comment; however, any edits to it will get removed if the file is opened in a newer version of Excel. Learn more: https://go.microsoft.com/fwlink/?linkid=870924
Comment:
    Darts</t>
      </text>
    </comment>
    <comment ref="J34" authorId="23" shapeId="0" xr:uid="{FAF5B218-070B-45BE-B110-8F7B1C8B81D8}">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M34" authorId="24" shapeId="0" xr:uid="{4D5BB3EE-005C-45C2-8A0E-D7E2E45564D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J36" authorId="25" shapeId="0" xr:uid="{53EB2C4A-B146-421F-9694-F2E1E6344C5A}">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J37" authorId="26" shapeId="0" xr:uid="{55CD50B4-5A2E-4B15-BEA6-A53BB7DC188B}">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C38" authorId="27" shapeId="0" xr:uid="{32E38E9A-B4C5-420B-A74E-FEFED847AFDE}">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F38" authorId="28" shapeId="0" xr:uid="{8B531531-C8CD-43B9-8828-42DD66AF90A7}">
      <text>
        <t>[Threaded comment]
Your version of Excel allows you to read this threaded comment; however, any edits to it will get removed if the file is opened in a newer version of Excel. Learn more: https://go.microsoft.com/fwlink/?linkid=870924
Comment:
    .15</t>
      </text>
    </comment>
    <comment ref="C39" authorId="29" shapeId="0" xr:uid="{5C7004C4-D8D6-47E9-9119-62617F84A564}">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D40" authorId="30" shapeId="0" xr:uid="{F10E3C77-30B8-430B-8F81-C49007DBA52D}">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0" authorId="31" shapeId="0" xr:uid="{CF7F40C4-648E-42F9-ADE0-237D5137E220}">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0" authorId="32" shapeId="0" xr:uid="{5F61D4A0-5533-4914-A6C1-05FD360AC451}">
      <text>
        <t>[Threaded comment]
Your version of Excel allows you to read this threaded comment; however, any edits to it will get removed if the file is opened in a newer version of Excel. Learn more: https://go.microsoft.com/fwlink/?linkid=870924
Comment:
    Darts</t>
      </text>
    </comment>
    <comment ref="D41" authorId="33" shapeId="0" xr:uid="{178F12AA-02C9-4150-87E2-EA5870DAC209}">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1" authorId="34" shapeId="0" xr:uid="{B549275E-80BB-4560-A8EC-ECE330BB9F8B}">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1" authorId="35" shapeId="0" xr:uid="{ED216E9D-8A6A-49DF-9FC3-1FBCDE55F43D}">
      <text>
        <t>[Threaded comment]
Your version of Excel allows you to read this threaded comment; however, any edits to it will get removed if the file is opened in a newer version of Excel. Learn more: https://go.microsoft.com/fwlink/?linkid=870924
Comment:
    Darts</t>
      </text>
    </comment>
    <comment ref="J42" authorId="36" shapeId="0" xr:uid="{9E33C6E2-6004-4CB5-BF87-EAC9340BF51B}">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42" authorId="37" shapeId="0" xr:uid="{43B9FCFA-1570-4A5E-B915-2DB63D8F2F3F}">
      <text>
        <t>[Threaded comment]
Your version of Excel allows you to read this threaded comment; however, any edits to it will get removed if the file is opened in a newer version of Excel. Learn more: https://go.microsoft.com/fwlink/?linkid=870924
Comment:
    Darts</t>
      </text>
    </comment>
    <comment ref="J43" authorId="38" shapeId="0" xr:uid="{2018DAFE-55DE-4FC5-A39E-50A08808230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M44" authorId="39" shapeId="0" xr:uid="{492540C2-BEEB-405F-B775-FABF9A3CE58D}">
      <text>
        <t>[Threaded comment]
Your version of Excel allows you to read this threaded comment; however, any edits to it will get removed if the file is opened in a newer version of Excel. Learn more: https://go.microsoft.com/fwlink/?linkid=870924
Comment:
    Darts</t>
      </text>
    </comment>
    <comment ref="C45" authorId="40" shapeId="0" xr:uid="{B06D5D71-9FAC-43AB-B3BA-BC782B7D2F06}">
      <text>
        <t>[Threaded comment]
Your version of Excel allows you to read this threaded comment; however, any edits to it will get removed if the file is opened in a newer version of Excel. Learn more: https://go.microsoft.com/fwlink/?linkid=870924
Comment:
    Siete 33, VI.</t>
      </text>
    </comment>
    <comment ref="J45" authorId="41" shapeId="0" xr:uid="{181A8FB7-E331-4F41-97F5-FA80B771B555}">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<sst xmlns="http://schemas.openxmlformats.org/spreadsheetml/2006/main" count="3505" uniqueCount="595">
  <si>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</si>
  <si>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</si>
  <si>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</si>
  <si>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</si>
  <si>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</si>
  <si>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</si>
  <si>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</si>
  <si>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</si>
  <si>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</si>
  <si>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</si>
  <si>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</si>
  <si>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</si>
  <si>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</si>
  <si>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</si>
  <si>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</si>
  <si>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</si>
  <si>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</si>
  <si>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</si>
  <si>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</si>
  <si>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</si>
  <si>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</si>
  <si>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</si>
  <si>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</si>
  <si>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</si>
  <si>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</si>
  <si>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</si>
  <si>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</si>
  <si>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</si>
  <si>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</si>
  <si>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</si>
  <si>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</si>
  <si>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</si>
  <si>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</si>
  <si>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</si>
  <si>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</si>
  <si>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</si>
  <si>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</si>
  <si>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</si>
  <si>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</si>
  <si>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</si>
  <si>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</si>
  <si>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</si>
  <si>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</si>
  <si>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</si>
  <si>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</si>
  <si>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</si>
  <si>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</si>
  <si>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</si>
  <si>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</si>
  <si>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</si>
  <si>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</si>
  <si>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</si>
  <si>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</si>
  <si>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</si>
  <si>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</si>
  <si>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</si>
  <si>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</si>
  <si>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</si>
  <si>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</si>
  <si>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</si>
  <si>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</si>
  <si>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</si>
  <si>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</si>
  <si>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</si>
  <si>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</si>
  <si>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</si>
  <si>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</si>
  <si>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</si>
  <si>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</si>
  <si>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</si>
  <si>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</si>
  <si>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</si>
  <si>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</si>
  <si>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</si>
  <si>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</si>
  <si>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</si>
  <si>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</si>
  <si>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</si>
  <si>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</si>
  <si>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</si>
  <si>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</si>
  <si>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</si>
  <si>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</si>
  <si>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</si>
  <si>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</si>
  <si>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</si>
  <si>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</si>
  <si>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</si>
  <si>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</si>
  <si>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</si>
  <si>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</si>
  <si>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</si>
  <si>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</si>
  <si>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</si>
  <si>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</si>
  <si>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</si>
  <si>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</si>
  <si>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</si>
  <si>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</si>
  <si>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</si>
  <si>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</si>
  <si>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</si>
  <si>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</si>
  <si>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</si>
  <si>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</si>
  <si>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</si>
  <si>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</si>
  <si>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</si>
  <si>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</si>
  <si>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</si>
  <si>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</si>
  <si>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</si>
  <si>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</si>
  <si>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</si>
  <si>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</si>
  <si>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</si>
  <si>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</si>
  <si>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</si>
  <si>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</si>
  <si>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</si>
  <si>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</si>
  <si>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</si>
  <si>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</si>
  <si>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</si>
  <si>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</si>
  <si>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</si>
  <si>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</si>
  <si>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</si>
  <si>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</si>
  <si>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</si>
  <si>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</si>
  <si>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</si>
  <si>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</si>
  <si>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</si>
  <si>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</si>
  <si>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</si>
  <si>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</si>
  <si>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</si>
  <si>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</si>
  <si>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</si>
  <si>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</si>
  <si>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</si>
  <si>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</si>
  <si>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</si>
  <si>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</si>
  <si>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</si>
  <si>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</si>
  <si>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</si>
  <si>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</si>
  <si>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</si>
  <si>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</si>
  <si>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</si>
  <si>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</si>
  <si>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</si>
  <si>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</si>
  <si>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</si>
  <si>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</si>
  <si>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</si>
  <si>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</si>
  <si>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</si>
  <si>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</si>
  <si>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</si>
  <si>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</si>
  <si>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</si>
  <si>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</si>
  <si>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</si>
  <si>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</si>
  <si>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</si>
  <si>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</si>
  <si>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</si>
  <si>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</si>
  <si>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</si>
  <si>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</si>
  <si>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</si>
  <si>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</si>
  <si>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</si>
  <si>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</si>
  <si>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</si>
  <si>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</si>
  <si>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</si>
  <si>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</si>
  <si>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</si>
  <si>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</si>
  <si>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</si>
  <si>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</si>
  <si>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</si>
  <si>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</si>
  <si>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</si>
  <si>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</si>
  <si>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</si>
  <si>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</si>
  <si>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</si>
  <si>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</si>
  <si>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</si>
  <si>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</si>
  <si>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</si>
  <si>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</si>
  <si>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</si>
  <si>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</si>
  <si>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</si>
  <si>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</si>
  <si>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</si>
  <si>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</si>
  <si>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</si>
  <si>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</si>
  <si>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</si>
  <si>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</si>
  <si>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</si>
  <si>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</si>
  <si>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</si>
  <si>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</si>
  <si>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</si>
  <si>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</si>
  <si>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</si>
  <si>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</si>
  <si>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</si>
  <si>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</si>
  <si>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</si>
  <si>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</si>
  <si>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</si>
  <si>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</si>
  <si>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</si>
  <si>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</si>
  <si>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</si>
  <si>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</si>
  <si>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</si>
  <si>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</si>
  <si>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</si>
  <si>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</si>
  <si>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</si>
  <si>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</si>
  <si>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</si>
  <si>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</si>
  <si>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</si>
  <si>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</si>
  <si>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</si>
  <si>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</si>
  <si>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</si>
  <si>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</si>
  <si>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</si>
  <si>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</si>
  <si>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</si>
  <si>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</si>
  <si>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</si>
  <si>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</si>
  <si>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</si>
  <si>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</si>
  <si>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</si>
  <si>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</si>
  <si>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</si>
  <si>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</si>
  <si>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</si>
  <si>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</si>
  <si>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</si>
  <si>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</si>
  <si>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</si>
  <si>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</si>
  <si>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</si>
  <si>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</si>
  <si>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</si>
  <si>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</si>
  <si>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</si>
  <si>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</si>
  <si>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</si>
  <si>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</si>
  <si>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</si>
  <si>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</si>
  <si>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</si>
  <si>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</si>
  <si>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</si>
  <si>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</si>
  <si>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</si>
  <si>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</si>
  <si>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</si>
  <si>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</si>
  <si>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</si>
  <si>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</si>
  <si>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</si>
  <si>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</si>
  <si>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</si>
  <si>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</si>
  <si>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</si>
  <si>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</si>
  <si>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</si>
  <si>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</si>
  <si>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</si>
  <si>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</si>
  <si>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</si>
  <si>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</si>
  <si>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</si>
  <si>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</si>
  <si>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</si>
  <si>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</si>
  <si>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</si>
  <si>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</si>
  <si>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</si>
  <si>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</si>
  <si>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</si>
  <si>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</si>
  <si>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</si>
  <si>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</si>
  <si>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</si>
  <si>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</si>
  <si>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</si>
  <si>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</si>
  <si>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</si>
  <si>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</si>
  <si>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</si>
  <si>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</si>
  <si>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</si>
  <si>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</si>
  <si>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</si>
  <si>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</si>
  <si>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</si>
  <si>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</si>
  <si>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</si>
  <si>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</si>
  <si>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</si>
  <si>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</si>
  <si>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</si>
  <si>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</si>
  <si>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</si>
  <si>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</si>
  <si>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</si>
  <si>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</si>
  <si>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</si>
  <si>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</si>
  <si>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</si>
  <si>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09.11.2016</t>
  </si>
  <si>
    <t>07.09.2017</t>
  </si>
  <si>
    <t>07.09.2015</t>
  </si>
  <si>
    <t>08.09.2016</t>
  </si>
  <si>
    <t>21.08.2019</t>
  </si>
  <si>
    <t>01.03.2021</t>
  </si>
  <si>
    <t>13.03.2015</t>
  </si>
  <si>
    <t>13.05.2015</t>
  </si>
  <si>
    <t>28.07.2015</t>
  </si>
  <si>
    <t>13.12.2005/01.06.2009</t>
  </si>
  <si>
    <t>17.09.2015</t>
  </si>
  <si>
    <t>01.12.2014</t>
  </si>
  <si>
    <t>01.02.2016</t>
  </si>
  <si>
    <t>19.03.2014</t>
  </si>
  <si>
    <t>01.06.2016</t>
  </si>
  <si>
    <t>01.06.2015</t>
  </si>
  <si>
    <t>n./a.</t>
  </si>
  <si>
    <t>15.12.2014</t>
  </si>
  <si>
    <t>03.08.2015</t>
  </si>
  <si>
    <t>05.07.2014</t>
  </si>
  <si>
    <t>29.03.2016</t>
  </si>
  <si>
    <t>Result of the appeal</t>
  </si>
  <si>
    <t>Patent Validity Proceedings</t>
  </si>
  <si>
    <t>Result of the Patent Validity</t>
  </si>
  <si>
    <t>Patents</t>
  </si>
  <si>
    <t>Bundesgerichtshof</t>
  </si>
  <si>
    <t>Reversed in part</t>
  </si>
  <si>
    <t>Further proceedings</t>
  </si>
  <si>
    <t>OLG Appeal</t>
  </si>
  <si>
    <t>OLG First instance</t>
  </si>
  <si>
    <t>LG mirrored</t>
  </si>
  <si>
    <t>Result of the f.instance</t>
  </si>
  <si>
    <t>Result of the Judicial Review</t>
  </si>
  <si>
    <t>EP01913904(A), EP1264504</t>
  </si>
  <si>
    <t>EP99952183(A), EP1125284</t>
  </si>
  <si>
    <t>Upheld</t>
  </si>
  <si>
    <t>EP99952199(A), EP1125276</t>
  </si>
  <si>
    <t>EP06007976(A), EP1694020(B1)</t>
  </si>
  <si>
    <t>EP06007976(A), EP1694020</t>
  </si>
  <si>
    <t>EP04020471(A), EP1487113(B1)</t>
  </si>
  <si>
    <t>EP03811870(A), EP1569460(B1)</t>
  </si>
  <si>
    <t>EP07100277(A), EP1773067(B1)</t>
  </si>
  <si>
    <t>Withdrawn</t>
  </si>
  <si>
    <t>Reversed and remand</t>
  </si>
  <si>
    <t>EP07022122(A), EP1887806(B1)</t>
  </si>
  <si>
    <t>EP12794438(A), EP2777270</t>
  </si>
  <si>
    <t>Same</t>
  </si>
  <si>
    <t>EP11714644(A), EP2559245</t>
  </si>
  <si>
    <t>EP03751150(A), EP1557072</t>
  </si>
  <si>
    <t>EP07804979(A), EP2087629(B1)</t>
  </si>
  <si>
    <t>EP08000573(A), EP1914945</t>
  </si>
  <si>
    <t>EP99947502(A), EP1119997(B1)</t>
  </si>
  <si>
    <t>EP09741793(A), EP2294737</t>
  </si>
  <si>
    <t>EP02775087(A), EP1440525</t>
  </si>
  <si>
    <t>EP99965566(A), EP1062744(B1)</t>
  </si>
  <si>
    <t>Reversed</t>
  </si>
  <si>
    <t>EP13003937(A), EP2667676(B1)</t>
  </si>
  <si>
    <t>EP14889618(A), EP3132443</t>
  </si>
  <si>
    <t>EP15181110(A), EP2981103, EP17163537(A), EP3220562</t>
  </si>
  <si>
    <t>Rejected the application for temporarily stop</t>
  </si>
  <si>
    <t>EP04728378(A), EP1623511(B1)</t>
  </si>
  <si>
    <t>EP07826610(A), EP2080193</t>
  </si>
  <si>
    <t>EP03727094(A), EP1509903</t>
  </si>
  <si>
    <t>EP96931826(A), EP0852885</t>
  </si>
  <si>
    <t>DE19910239(A), DE19910239</t>
  </si>
  <si>
    <t>EP96301947(A), EP0734181(B1)</t>
  </si>
  <si>
    <t>EP97909543(A), EP0888687</t>
  </si>
  <si>
    <t>EP05799607(A), EP1815647</t>
  </si>
  <si>
    <t>EP99964682(A), EP1062743, EP99969233(A), EP1062745</t>
  </si>
  <si>
    <t>EP04728378(A), EP1623511</t>
  </si>
  <si>
    <t>EP00931376(A), EP1186034(B1)</t>
  </si>
  <si>
    <t>EP99126132(A), EP0991054</t>
  </si>
  <si>
    <t>Upheld?</t>
  </si>
  <si>
    <t>Espacenet</t>
  </si>
  <si>
    <t>DE60130436T2, DE60130436T3</t>
  </si>
  <si>
    <t>DE69910058T2, DE69910239T2, DE69910240T2, DE69913724T2</t>
  </si>
  <si>
    <t>NOT USED</t>
  </si>
  <si>
    <t>DE60130436T2, DE60130436T4</t>
  </si>
  <si>
    <t>DE1161820T1, DE60027414T2</t>
  </si>
  <si>
    <t>DE1161820T1, DE60027414T3</t>
  </si>
  <si>
    <t>DE60320243T2</t>
  </si>
  <si>
    <t>DE69719582T2</t>
  </si>
  <si>
    <t>DE602006000464T2</t>
  </si>
  <si>
    <t>DE69924130C5, DE69924130T2</t>
  </si>
  <si>
    <t>EP99969233(A), EP1062745(B1); EP99964682(A), EP1062743(B1)</t>
  </si>
  <si>
    <t>DE69933654T2, DE69934577T2, DE69935715T2</t>
  </si>
  <si>
    <t>DE602004005179T2</t>
  </si>
  <si>
    <t>DE69910240T2, DE69913724T2</t>
  </si>
  <si>
    <t>DE69635453C5, DE69635453T2</t>
  </si>
  <si>
    <t>DE69635453C5, DE69635453T3</t>
  </si>
  <si>
    <t>DE19910239A1, DE19910239B4, DE20024006U1, DE20024007U1</t>
  </si>
  <si>
    <t>DE69628487T2</t>
  </si>
  <si>
    <t>DE69628487T3</t>
  </si>
  <si>
    <t>DE69708693C5, DE69708693T2, DE69708696T2, DE69708697T2, DE69710505T2, DE69710794T2, DE69711715T2, DE69712535T2, DE69712537T2, DE69712538T2, DE69712539T2, DE69712927T2, DE69712928T2, DE69713633T2, DE69715478T2, DE69721595T2, DE69723324T2, DE69730316T2</t>
  </si>
  <si>
    <t>Invalid for Germany</t>
  </si>
  <si>
    <t>Partially invalid for Germany</t>
  </si>
  <si>
    <t>EP15181110(A), EP2981103(B1)</t>
  </si>
  <si>
    <t>Charges dismissed</t>
  </si>
  <si>
    <t>Aktenzeichen Bundespatetgerichts</t>
  </si>
  <si>
    <t>Entscheidungsdatum</t>
  </si>
  <si>
    <t>Beschwerdesdatum</t>
  </si>
  <si>
    <t>6 Ni 15/15 (EP)</t>
  </si>
  <si>
    <t>14.02.2018</t>
  </si>
  <si>
    <t>http://juris.bundespatentgericht.de/cgi-bin/rechtsprechung/document.py?Gericht=bpatg&amp;Art=en&amp;sid=1d78632798b85c831df59d6be5dfa5b4&amp;nr=29853&amp;pos=0&amp;anz=1&amp;Blank=1.pdf</t>
  </si>
  <si>
    <t>6 Ni 6/16 (EP)</t>
  </si>
  <si>
    <t>http://juris.bundespatentgericht.de/cgi-bin/rechtsprechung/document.py?Gericht=bpatg&amp;Art=en&amp;sid=14e273bb9e03002bf8855902c01530ec&amp;nr=29046&amp;pos=0&amp;anz=1&amp;Blank=1.pdf</t>
  </si>
  <si>
    <t>12.02.2020</t>
  </si>
  <si>
    <t>5 Ni 50/16 (EP)</t>
  </si>
  <si>
    <t>http://juris.bundespatentgericht.de/cgi-bin/rechtsprechung/document.py?Gericht=bpatg&amp;Art=en&amp;sid=cceed9fc9f9ffc523f1ae12263bfc901&amp;nr=39046&amp;pos=0&amp;anz=1&amp;Blank=1.pdf</t>
  </si>
  <si>
    <t>http://juris.bundespatentgericht.de/cgi-bin/rechtsprechung/document.py?Gericht=bpatg&amp;Art=en&amp;sid=2a46cbd669d30945f37f9bc0306cdede&amp;nr=43699&amp;pos=0&amp;anz=1&amp;Blank=1.pdf</t>
  </si>
  <si>
    <t>2 Ni 39/21 (EP)</t>
  </si>
  <si>
    <t>16.03.2023</t>
  </si>
  <si>
    <t>http://juris.bundespatentgericht.de/cgi-bin/rechtsprechung/document.py?Gericht=bpatg&amp;Art=en&amp;sid=512d6819bb3a9180b75a48161f5aff05&amp;nr=43641&amp;pos=0&amp;anz=1&amp;Blank=1.pdf</t>
  </si>
  <si>
    <t>27.01.2023</t>
  </si>
  <si>
    <t>2 Ni 7/21 (EP)</t>
  </si>
  <si>
    <t>17.03.2022</t>
  </si>
  <si>
    <t>2 Ni 37/20 (EP)</t>
  </si>
  <si>
    <t>http://juris.bundespatentgericht.de/cgi-bin/rechtsprechung/document.py?Gericht=bpatg&amp;Art=en&amp;sid=53950807634dcf53171690d1a110fef0&amp;nr=43025&amp;pos=0&amp;anz=1&amp;Blank=1.pdf</t>
  </si>
  <si>
    <t>6 Ni 70/16 (EP)</t>
  </si>
  <si>
    <t>http://juris.bundespatentgericht.de/cgi-bin/rechtsprechung/document.py?Gericht=bpatg&amp;Art=en&amp;sid=72dab1f480256d994d46d296e1d81f0e&amp;nr=34383&amp;pos=0&amp;anz=1&amp;Blank=1.pdf</t>
  </si>
  <si>
    <t>2 Ni 14/17 (EP)</t>
  </si>
  <si>
    <t>19.09.2019</t>
  </si>
  <si>
    <t>http://juris.bundespatentgericht.de/cgi-bin/rechtsprechung/document.py?Gericht=bpatg&amp;Art=en&amp;sid=75f141e9346b099fa6b6be07eb8d05a5&amp;nr=39474&amp;pos=0&amp;anz=1&amp;Blank=1.pdf</t>
  </si>
  <si>
    <t>2 Ni 10/17 (EP)</t>
  </si>
  <si>
    <t>25.03.2019</t>
  </si>
  <si>
    <t>http://juris.bundespatentgericht.de/cgi-bin/rechtsprechung/document.py?Gericht=bpatg&amp;Art=en&amp;sid=b33d1bbc43fde716904fd6352120093b&amp;nr=34377&amp;pos=0&amp;anz=1&amp;Blank=1.pdf</t>
  </si>
  <si>
    <t>http://juris.bundespatentgericht.de/cgi-bin/rechtsprechung/document.py?Gericht=bpatg&amp;Art=en&amp;sid=bbc8084d4a1b275b62cfa1c3e7203c48&amp;nr=39474&amp;pos=0&amp;anz=1&amp;Blank=1.pdf</t>
  </si>
  <si>
    <t>4 Ni 11/21 (EP)</t>
  </si>
  <si>
    <t>02.08.2022</t>
  </si>
  <si>
    <t>http://juris.bundespatentgericht.de/cgi-bin/rechtsprechung/document.py?Gericht=bpatg&amp;Art=en&amp;sid=94908c89b72e65e1f7d29010c2144ab1&amp;nr=43267&amp;pos=0&amp;anz=1&amp;Blank=1.pdf</t>
  </si>
  <si>
    <t>http://juris.bundespatentgericht.de/cgi-bin/rechtsprechung/document.py?Gericht=bpatg&amp;Art=en&amp;sid=3652ff2c1f99b1fe95e3eef59630f1fa&amp;nr=38914&amp;pos=0&amp;anz=1&amp;Blank=1.pdf</t>
  </si>
  <si>
    <t>09.01.2020</t>
  </si>
  <si>
    <t>6 Ni 50/16 (EP)</t>
  </si>
  <si>
    <t>4 Ni 9/21 (EP)</t>
  </si>
  <si>
    <t>06.12.2021</t>
  </si>
  <si>
    <t>http://juris.bundespatentgericht.de/cgi-bin/rechtsprechung/document.py?Gericht=bpatg&amp;Art=en&amp;sid=c6c57cea8d597be4ddff88df5e0c1bd4&amp;nr=42398&amp;pos=0&amp;anz=1&amp;Blank=1.pdf</t>
  </si>
  <si>
    <t>http://juris.bundespatentgericht.de/cgi-bin/rechtsprechung/document.py?Gericht=bpatg&amp;Art=en&amp;sid=ffd14ec36a6dfbd64662b605345661a0&amp;nr=43641&amp;pos=0&amp;anz=1&amp;Blank=1.pdf</t>
  </si>
  <si>
    <t>6 Ni 10/15 (EP)</t>
  </si>
  <si>
    <t>06.10.2017</t>
  </si>
  <si>
    <t>http://juris.bundespatentgericht.de/cgi-bin/rechtsprechung/document.py?Gericht=bpatg&amp;Art=en&amp;sid=1740b61095c41bc7591b0735ca03401a&amp;nr=36064&amp;pos=0&amp;anz=1&amp;Blank=1.pdf</t>
  </si>
  <si>
    <t>http://juris.bundespatentgericht.de/cgi-bin/rechtsprechung/document.py?Gericht=bpatg&amp;Art=en&amp;sid=591686bf13eeae126c67a6bd158e28d8&amp;nr=29077&amp;pos=0&amp;anz=1&amp;Blank=1.pdf</t>
  </si>
  <si>
    <t>02.02.2017</t>
  </si>
  <si>
    <t>2 Ni 5/16 (EP)</t>
  </si>
  <si>
    <t>http://juris.bundespatentgericht.de/cgi-bin/rechtsprechung/document.py?Gericht=bpatg&amp;Art=en&amp;sid=ddb6b4977af588ff2df7ce84427473b5&amp;nr=34377&amp;pos=0&amp;anz=1&amp;Blank=1.pdf</t>
  </si>
  <si>
    <t>5 Ni 38/16 (EP)</t>
  </si>
  <si>
    <t>26.06.2019</t>
  </si>
  <si>
    <t>http://juris.bundespatentgericht.de/cgi-bin/rechtsprechung/document.py?Gericht=bpatg&amp;Art=en&amp;sid=5688c2d62c5fd7a11b2b8759c2350e57&amp;nr=36914&amp;pos=0&amp;anz=1&amp;Blank=1.pdf</t>
  </si>
  <si>
    <t>6 Ni 67/16 (EP)</t>
  </si>
  <si>
    <t>05.12.2018</t>
  </si>
  <si>
    <t>http://juris.bundespatentgericht.de/cgi-bin/rechtsprechung/document.py?Gericht=bpatg&amp;Art=en&amp;sid=0bea35bd8712808b6b1afc35cd8c17f9&amp;nr=34416&amp;pos=0&amp;anz=1&amp;Blank=1.pdf</t>
  </si>
  <si>
    <t>http://juris.bundespatentgericht.de/cgi-bin/rechtsprechung/document.py?Gericht=bpatg&amp;Art=en&amp;sid=c7af110d065a7de705de0f054d1a4b27&amp;nr=38914&amp;pos=0&amp;anz=1&amp;Blank=1.pdf</t>
  </si>
  <si>
    <t>2 Ni 28/16 (EP)</t>
  </si>
  <si>
    <t>26.07.2017</t>
  </si>
  <si>
    <t>http://juris.bundespatentgericht.de/cgi-bin/rechtsprechung/document.py?Gericht=bpatg&amp;Art=en&amp;sid=bbaa34385701eb9b0de4e1625a453b0b&amp;nr=29412&amp;pos=0&amp;anz=1&amp;Blank=1.pdf</t>
  </si>
  <si>
    <t>04.05.2016</t>
  </si>
  <si>
    <t>12.05.2016</t>
  </si>
  <si>
    <t>10.03.2017?</t>
  </si>
  <si>
    <t>10.11.2016</t>
  </si>
  <si>
    <t>26.07.2019?</t>
  </si>
  <si>
    <t>26.07.2016</t>
  </si>
  <si>
    <t>04.07.2016</t>
  </si>
  <si>
    <t>31.07.2015</t>
  </si>
  <si>
    <t>29.03.2019</t>
  </si>
  <si>
    <t>08.04.2019</t>
  </si>
  <si>
    <t>08.04.2016</t>
  </si>
  <si>
    <t>08.05.2020</t>
  </si>
  <si>
    <t>pre-Huawei</t>
  </si>
  <si>
    <t>post-Huawei</t>
  </si>
  <si>
    <t>Klage</t>
  </si>
  <si>
    <t>Injunction</t>
  </si>
  <si>
    <t>Amount lower</t>
  </si>
  <si>
    <t>Amount upper</t>
  </si>
  <si>
    <t>Injunction granted</t>
  </si>
  <si>
    <t>Not granted</t>
  </si>
  <si>
    <t>&lt;1M</t>
  </si>
  <si>
    <t>1-2.5M</t>
  </si>
  <si>
    <t>4-5M</t>
  </si>
  <si>
    <t>&gt;20M</t>
  </si>
  <si>
    <t>Category</t>
  </si>
  <si>
    <t>Amount average</t>
  </si>
  <si>
    <t>10-19M</t>
  </si>
  <si>
    <t>04.03.2016</t>
  </si>
  <si>
    <t>11.03.2016</t>
  </si>
  <si>
    <t>Decision</t>
  </si>
  <si>
    <t>Complaint</t>
  </si>
  <si>
    <t>Contact</t>
  </si>
  <si>
    <t>Offer</t>
  </si>
  <si>
    <t>Complaint-Decision lag</t>
  </si>
  <si>
    <t>Less than 1 year</t>
  </si>
  <si>
    <t>1 to 2 years</t>
  </si>
  <si>
    <t>2 to 3 years</t>
  </si>
  <si>
    <t>3 to 5 years</t>
  </si>
  <si>
    <t>More than 5 years</t>
  </si>
  <si>
    <t>Contact-Complaint lag</t>
  </si>
  <si>
    <t>Offer-Complaint lag</t>
  </si>
  <si>
    <t>POTENTIAL PROBLEM WITH</t>
  </si>
  <si>
    <t>NEGATIVE DATES</t>
  </si>
  <si>
    <t>NEGATIVE DAYS</t>
  </si>
  <si>
    <t>Decision's date</t>
  </si>
  <si>
    <t>Complaint's date</t>
  </si>
  <si>
    <t>PatVal Decision's date</t>
  </si>
  <si>
    <t>PatVal Complaint's date</t>
  </si>
  <si>
    <t>Patent Validity lag</t>
  </si>
  <si>
    <t>DUPLICATES</t>
  </si>
  <si>
    <t>Injunction not granted</t>
  </si>
  <si>
    <t>first contact by pool administrator much earlier (even though date is XXX); that is the contact that was deemed sufficient; licensing offer was made at 7. November 2017. I would suggest that date of first contact is unknown here (reflecing the xxx)</t>
  </si>
  <si>
    <t>first contact by pool administrator much earlier (even though date is XXX); that is the contact that was deemed sufficient</t>
  </si>
  <si>
    <t>Klageerweiterung am 19.02.2021</t>
  </si>
  <si>
    <t>there are only 5 cases with more than 5 years</t>
  </si>
  <si>
    <t>Injunction-Validity lag</t>
  </si>
  <si>
    <t>Median Injunction-Validity lag</t>
  </si>
  <si>
    <t>Injunction case</t>
  </si>
  <si>
    <t>Validity case</t>
  </si>
  <si>
    <t>Injunctions granted</t>
  </si>
  <si>
    <t>Percentage of challenged</t>
  </si>
  <si>
    <t>Percentage of not challenged</t>
  </si>
  <si>
    <t>Patents not challenged</t>
  </si>
  <si>
    <t>Patents challenged</t>
  </si>
  <si>
    <t>25.03.2015</t>
  </si>
  <si>
    <t>01.11.2013</t>
  </si>
  <si>
    <t>First contact by pool</t>
  </si>
  <si>
    <t>03.11.2008</t>
  </si>
  <si>
    <t>earlier (date unknown) [para 34]</t>
  </si>
  <si>
    <t>earlier (date unknown) [para 37]</t>
  </si>
  <si>
    <t>earlier (date unknown) [para 31]</t>
  </si>
  <si>
    <t>21.06.2016</t>
  </si>
  <si>
    <t>13.12.2005</t>
  </si>
  <si>
    <t>21.09.2022</t>
  </si>
  <si>
    <t>07.11.2017</t>
  </si>
  <si>
    <t>Injunctions with conflicting validity decision</t>
  </si>
  <si>
    <t>Injunctions w.o. conflicting validity decision</t>
  </si>
  <si>
    <t>06.11.2014</t>
  </si>
  <si>
    <t>19.10.2017</t>
  </si>
  <si>
    <t>24.08.2017</t>
  </si>
  <si>
    <t>24.07.2019</t>
  </si>
  <si>
    <t>EP02021307(A), EP1267348</t>
  </si>
  <si>
    <t>05.06.2015</t>
  </si>
  <si>
    <t>03.07.2015</t>
  </si>
  <si>
    <t>6 Ni 24/17 (EP)</t>
  </si>
  <si>
    <t>http://juris.bundespatentgericht.de/cgi-bin/rechtsprechung/document.py?Gericht=bpatg&amp;Art=en&amp;sid=9be8db4304df34a7cf8fe900676cd57d&amp;nr=37403&amp;pos=0&amp;anz=1&amp;Blank=1.pdf</t>
  </si>
  <si>
    <t>02.10.2019</t>
  </si>
  <si>
    <t>17.06.2019</t>
  </si>
  <si>
    <t>13.11.2018</t>
  </si>
  <si>
    <t>http://juris.bundespatentgericht.de/cgi-bin/rechtsprechung/document.py?Gericht=bpatg&amp;Art=en&amp;sid=b7368e91684c1e0fa0058a1a34d5c60a&amp;nr=33531&amp;pos=1&amp;anz=4&amp;Blank=1.pdf</t>
  </si>
  <si>
    <t>6 Ni 39/16 (EP)</t>
  </si>
  <si>
    <t>24.03.2016</t>
  </si>
  <si>
    <t>04.12.2019</t>
  </si>
  <si>
    <t>5 Ni 24/19 (EP)</t>
  </si>
  <si>
    <t>5 Ni 60/21 (EP)</t>
  </si>
  <si>
    <t>4 Ni 6/15 (EP), 6 Ni 7/16 (EP), 6 Ni 63/16 (EP), 4 Ni 33/14 (EP)</t>
  </si>
  <si>
    <t>19.04.2022</t>
  </si>
  <si>
    <t>4 Ni 33/22 (EP)</t>
  </si>
  <si>
    <t>6 Ni 2/20 (EP), 8 Ni 12/23 (EP), 4 Ni 7/22 (EP)</t>
  </si>
  <si>
    <t>10.02.2020, 09.02.2020</t>
  </si>
  <si>
    <t>19 W (pat) 69/13</t>
  </si>
  <si>
    <t>12.04.2016</t>
  </si>
  <si>
    <t>21.11.2013</t>
  </si>
  <si>
    <t>Fully revoked</t>
  </si>
  <si>
    <t>2 Ni 36/17 (EP), 2 Ni 19/21 (EP)</t>
  </si>
  <si>
    <t>03.07.2017, 22.04.2021</t>
  </si>
  <si>
    <t>2 Ni 66/17 (EP), 7 Ni 21/19 (EP)</t>
  </si>
  <si>
    <t>2 Ni 48/17 (EP), 2 Ni 51/17 (EP)</t>
  </si>
  <si>
    <t>5 Ni 7/19 (EP)</t>
  </si>
  <si>
    <t>2 Ni 23/16, 2 Ni 38/17 (EP), 2 Ni 10/15 (EP)</t>
  </si>
  <si>
    <t>5 Ni 30/15 (EP)</t>
  </si>
  <si>
    <t>Percentage of said conflicting</t>
  </si>
  <si>
    <t>http://juris.bundespatentgericht.de/cgi-bin/rechtsprechung/document.py?Gericht=bpatg&amp;Art=en&amp;sid=aff07b20593ede41bbe8007fa65d4a0d&amp;nr=28089&amp;pos=1&amp;anz=2&amp;Blank=1.pdf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</si>
</sst>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8"/>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14" fontId="3" fillId="0" borderId="0" xfId="0" applyNumberFormat="1" applyFont="1"/>
    <xf numFmtId="14" fontId="0" fillId="0" borderId="0" xfId="0" applyNumberFormat="1"/>
    <xf numFmtId="0" fontId="0" fillId="0" borderId="0" xfId="0" applyAlignment="1">
      <alignment vertical="center"/>
    </xf>
    <xf numFmtId="0" fontId="3" fillId="4" borderId="0" xfId="0" applyFont="1" applyFill="1"/>
    <xf numFmtId="0" fontId="0" fillId="7" borderId="0" xfId="0" applyFill="1"/>
    <xf numFmtId="0" fontId="0" fillId="8" borderId="0" xfId="0" applyFill="1"/>
    <xf numFmtId="17" fontId="5" fillId="8" borderId="0" xfId="0" applyNumberFormat="1" applyFont="1" applyFill="1"/>
    <xf numFmtId="0" fontId="0" fillId="9" borderId="0" xfId="0" applyFill="1"/>
    <xf numFmtId="0" fontId="0" fillId="10" borderId="0" xfId="0" applyFill="1"/>
    <xf numFmtId="0" fontId="3" fillId="7" borderId="0" xfId="0" applyFont="1" applyFill="1"/>
    <xf numFmtId="0" fontId="0" fillId="0" borderId="0" xfId="0" applyAlignment="1">
      <alignment horizontal="center"/>
    </xf>
    <xf numFmtId="0" fontId="0" fillId="0" borderId="0" xfId="0" applyAlignment="1">
      <alignment horizontal="center" vertical="center"/>
    </xf>
  </cellXfs>
  <cellStyles count="2">
    <cellStyle name="Hyperlink" xfId="1"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graphs'!$B$1</c:f>
              <c:strCache>
                <c:ptCount val="1"/>
                <c:pt idx="0">
                  <c:v>Yes</c:v>
                </c:pt>
              </c:strCache>
            </c:strRef>
          </c:tx>
          <c:spPr>
            <a:solidFill>
              <a:schemeClr val="accent1"/>
            </a:solidFill>
            <a:ln>
              <a:noFill/>
            </a:ln>
            <a:effectLst/>
          </c:spPr>
          <c:invertIfNegative val="0"/>
          <c:cat>
            <c:strRef>
              <c:f>'Old graphs'!$A$2:$A$4</c:f>
              <c:strCache>
                <c:ptCount val="3"/>
                <c:pt idx="0">
                  <c:v>Duesseldorf</c:v>
                </c:pt>
                <c:pt idx="1">
                  <c:v>Mannheim</c:v>
                </c:pt>
                <c:pt idx="2">
                  <c:v>Munich</c:v>
                </c:pt>
              </c:strCache>
            </c:strRef>
          </c:cat>
          <c:val>
            <c:numRef>
              <c:f>'Old graphs'!$B$2:$B$4</c:f>
              <c:numCache>
                <c:formatCode>General</c:formatCode>
                <c:ptCount val="3"/>
                <c:pt idx="0">
                  <c:v>10</c:v>
                </c:pt>
                <c:pt idx="1">
                  <c:v>12</c:v>
                </c:pt>
                <c:pt idx="2">
                  <c:v>5</c:v>
                </c:pt>
              </c:numCache>
            </c:numRef>
          </c:val>
          <c:extLst>
            <c:ext xmlns:c16="http://schemas.microsoft.com/office/drawing/2014/chart" uri="{C3380CC4-5D6E-409C-BE32-E72D297353CC}">
              <c16:uniqueId val="{00000000-3F96-4FD2-A12D-11A37F8D119C}"/>
            </c:ext>
          </c:extLst>
        </c:ser>
        <c:ser>
          <c:idx val="1"/>
          <c:order val="1"/>
          <c:tx>
            <c:strRef>
              <c:f>'Old graphs'!$C$1</c:f>
              <c:strCache>
                <c:ptCount val="1"/>
                <c:pt idx="0">
                  <c:v>No</c:v>
                </c:pt>
              </c:strCache>
            </c:strRef>
          </c:tx>
          <c:spPr>
            <a:solidFill>
              <a:schemeClr val="accent2"/>
            </a:solidFill>
            <a:ln>
              <a:noFill/>
            </a:ln>
            <a:effectLst/>
          </c:spPr>
          <c:invertIfNegative val="0"/>
          <c:cat>
            <c:strRef>
              <c:f>'Old graphs'!$A$2:$A$4</c:f>
              <c:strCache>
                <c:ptCount val="3"/>
                <c:pt idx="0">
                  <c:v>Duesseldorf</c:v>
                </c:pt>
                <c:pt idx="1">
                  <c:v>Mannheim</c:v>
                </c:pt>
                <c:pt idx="2">
                  <c:v>Munich</c:v>
                </c:pt>
              </c:strCache>
            </c:strRef>
          </c:cat>
          <c:val>
            <c:numRef>
              <c:f>'Old graphs'!$C$2:$C$4</c:f>
              <c:numCache>
                <c:formatCode>General</c:formatCode>
                <c:ptCount val="3"/>
                <c:pt idx="0">
                  <c:v>8</c:v>
                </c:pt>
                <c:pt idx="1">
                  <c:v>9</c:v>
                </c:pt>
                <c:pt idx="2">
                  <c:v>0</c:v>
                </c:pt>
              </c:numCache>
            </c:numRef>
          </c:val>
          <c:extLst>
            <c:ext xmlns:c16="http://schemas.microsoft.com/office/drawing/2014/chart" uri="{C3380CC4-5D6E-409C-BE32-E72D297353CC}">
              <c16:uniqueId val="{00000001-3F96-4FD2-A12D-11A37F8D119C}"/>
            </c:ext>
          </c:extLst>
        </c:ser>
        <c:ser>
          <c:idx val="2"/>
          <c:order val="2"/>
          <c:tx>
            <c:strRef>
              <c:f>'Old graphs'!$D$1</c:f>
              <c:strCache>
                <c:ptCount val="1"/>
                <c:pt idx="0">
                  <c:v>n./a.</c:v>
                </c:pt>
              </c:strCache>
            </c:strRef>
          </c:tx>
          <c:spPr>
            <a:solidFill>
              <a:schemeClr val="accent3"/>
            </a:solidFill>
            <a:ln>
              <a:noFill/>
            </a:ln>
            <a:effectLst/>
          </c:spPr>
          <c:invertIfNegative val="0"/>
          <c:cat>
            <c:strRef>
              <c:f>'Old graphs'!$A$2:$A$4</c:f>
              <c:strCache>
                <c:ptCount val="3"/>
                <c:pt idx="0">
                  <c:v>Duesseldorf</c:v>
                </c:pt>
                <c:pt idx="1">
                  <c:v>Mannheim</c:v>
                </c:pt>
                <c:pt idx="2">
                  <c:v>Munich</c:v>
                </c:pt>
              </c:strCache>
            </c:strRef>
          </c:cat>
          <c:val>
            <c:numRef>
              <c:f>'Old graphs'!$D$2:$D$4</c:f>
              <c:numCache>
                <c:formatCode>General</c:formatCode>
                <c:ptCount val="3"/>
                <c:pt idx="0">
                  <c:v>1</c:v>
                </c:pt>
                <c:pt idx="1">
                  <c:v>0</c:v>
                </c:pt>
                <c:pt idx="2">
                  <c:v>0</c:v>
                </c:pt>
              </c:numCache>
            </c:numRef>
          </c:val>
          <c:extLst>
            <c:ext xmlns:c16="http://schemas.microsoft.com/office/drawing/2014/chart" uri="{C3380CC4-5D6E-409C-BE32-E72D297353CC}">
              <c16:uniqueId val="{00000002-3F96-4FD2-A12D-11A37F8D119C}"/>
            </c:ext>
          </c:extLst>
        </c:ser>
        <c:dLbls>
          <c:showLegendKey val="0"/>
          <c:showVal val="0"/>
          <c:showCatName val="0"/>
          <c:showSerName val="0"/>
          <c:showPercent val="0"/>
          <c:showBubbleSize val="0"/>
        </c:dLbls>
        <c:gapWidth val="219"/>
        <c:overlap val="-27"/>
        <c:axId val="1742997008"/>
        <c:axId val="1754075072"/>
      </c:barChart>
      <c:catAx>
        <c:axId val="17429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75072"/>
        <c:crosses val="autoZero"/>
        <c:auto val="1"/>
        <c:lblAlgn val="ctr"/>
        <c:lblOffset val="100"/>
        <c:noMultiLvlLbl val="0"/>
      </c:catAx>
      <c:valAx>
        <c:axId val="17540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97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decisions in databes by year of ruling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'Old graphs'!$J$1</c:f>
              <c:strCache>
                <c:ptCount val="1"/>
                <c:pt idx="0">
                  <c:v>pre-Huawei</c:v>
                </c:pt>
              </c:strCache>
            </c:strRef>
          </c:tx>
          <c:spPr>
            <a:solidFill>
              <a:schemeClr val="accent1"/>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graphs'!$J$2:$J$11</c:f>
              <c:numCache>
                <c:formatCode>General</c:formatCode>
                <c:ptCount val="10"/>
                <c:pt idx="0">
                  <c:v>0</c:v>
                </c:pt>
                <c:pt idx="1">
                  <c:v>2</c:v>
                </c:pt>
                <c:pt idx="2">
                  <c:v>7</c:v>
                </c:pt>
                <c:pt idx="3">
                  <c:v>1</c:v>
                </c:pt>
                <c:pt idx="4">
                  <c:v>0</c:v>
                </c:pt>
                <c:pt idx="5">
                  <c:v>0</c:v>
                </c:pt>
                <c:pt idx="6">
                  <c:v>0</c:v>
                </c:pt>
                <c:pt idx="7">
                  <c:v>0</c:v>
                </c:pt>
                <c:pt idx="8">
                  <c:v>0</c:v>
                </c:pt>
                <c:pt idx="9">
                  <c:v>0</c:v>
                </c:pt>
              </c:numCache>
            </c:numRef>
          </c:val>
          <c:extLst>
            <c:ext xmlns:c16="http://schemas.microsoft.com/office/drawing/2014/chart" uri="{C3380CC4-5D6E-409C-BE32-E72D297353CC}">
              <c16:uniqueId val="{00000000-D8F8-414B-BB3A-C24792EABC2E}"/>
            </c:ext>
          </c:extLst>
        </c:ser>
        <c:ser>
          <c:idx val="1"/>
          <c:order val="1"/>
          <c:tx>
            <c:strRef>
              <c:f>'Old graphs'!$K$1</c:f>
              <c:strCache>
                <c:ptCount val="1"/>
                <c:pt idx="0">
                  <c:v>post-Huawei</c:v>
                </c:pt>
              </c:strCache>
            </c:strRef>
          </c:tx>
          <c:spPr>
            <a:solidFill>
              <a:schemeClr val="accent2"/>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graphs'!$K$2:$K$11</c:f>
              <c:numCache>
                <c:formatCode>General</c:formatCode>
                <c:ptCount val="10"/>
                <c:pt idx="0">
                  <c:v>0</c:v>
                </c:pt>
                <c:pt idx="1">
                  <c:v>0</c:v>
                </c:pt>
                <c:pt idx="2">
                  <c:v>4</c:v>
                </c:pt>
                <c:pt idx="3">
                  <c:v>8</c:v>
                </c:pt>
                <c:pt idx="4">
                  <c:v>8</c:v>
                </c:pt>
                <c:pt idx="5">
                  <c:v>2</c:v>
                </c:pt>
                <c:pt idx="6">
                  <c:v>7</c:v>
                </c:pt>
                <c:pt idx="7">
                  <c:v>2</c:v>
                </c:pt>
                <c:pt idx="8">
                  <c:v>2</c:v>
                </c:pt>
                <c:pt idx="9">
                  <c:v>2</c:v>
                </c:pt>
              </c:numCache>
            </c:numRef>
          </c:val>
          <c:extLst>
            <c:ext xmlns:c16="http://schemas.microsoft.com/office/drawing/2014/chart" uri="{C3380CC4-5D6E-409C-BE32-E72D297353CC}">
              <c16:uniqueId val="{00000001-D8F8-414B-BB3A-C24792EABC2E}"/>
            </c:ext>
          </c:extLst>
        </c:ser>
        <c:dLbls>
          <c:showLegendKey val="0"/>
          <c:showVal val="0"/>
          <c:showCatName val="0"/>
          <c:showSerName val="0"/>
          <c:showPercent val="0"/>
          <c:showBubbleSize val="0"/>
        </c:dLbls>
        <c:gapWidth val="150"/>
        <c:overlap val="100"/>
        <c:axId val="1457818496"/>
        <c:axId val="1754066144"/>
      </c:barChart>
      <c:catAx>
        <c:axId val="14578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6144"/>
        <c:crosses val="autoZero"/>
        <c:auto val="1"/>
        <c:lblAlgn val="ctr"/>
        <c:lblOffset val="100"/>
        <c:noMultiLvlLbl val="0"/>
      </c:catAx>
      <c:valAx>
        <c:axId val="175406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1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graphs'!$P$2</c:f>
              <c:strCache>
                <c:ptCount val="1"/>
                <c:pt idx="0">
                  <c:v>Yes</c:v>
                </c:pt>
              </c:strCache>
            </c:strRef>
          </c:tx>
          <c:spPr>
            <a:solidFill>
              <a:schemeClr val="accent1"/>
            </a:solidFill>
            <a:ln>
              <a:noFill/>
            </a:ln>
            <a:effectLst/>
          </c:spPr>
          <c:invertIfNegative val="0"/>
          <c:cat>
            <c:strRef>
              <c:f>'Old graphs'!$Q$1:$R$1</c:f>
              <c:strCache>
                <c:ptCount val="2"/>
                <c:pt idx="0">
                  <c:v>pre-Huawei</c:v>
                </c:pt>
                <c:pt idx="1">
                  <c:v>post-Huawei</c:v>
                </c:pt>
              </c:strCache>
            </c:strRef>
          </c:cat>
          <c:val>
            <c:numRef>
              <c:f>'Old graphs'!$Q$2:$R$2</c:f>
              <c:numCache>
                <c:formatCode>General</c:formatCode>
                <c:ptCount val="2"/>
                <c:pt idx="0">
                  <c:v>8</c:v>
                </c:pt>
                <c:pt idx="1">
                  <c:v>19</c:v>
                </c:pt>
              </c:numCache>
            </c:numRef>
          </c:val>
          <c:extLst>
            <c:ext xmlns:c16="http://schemas.microsoft.com/office/drawing/2014/chart" uri="{C3380CC4-5D6E-409C-BE32-E72D297353CC}">
              <c16:uniqueId val="{00000000-1B50-4C75-9374-F87A1E3E2B39}"/>
            </c:ext>
          </c:extLst>
        </c:ser>
        <c:ser>
          <c:idx val="1"/>
          <c:order val="1"/>
          <c:tx>
            <c:strRef>
              <c:f>'Old graphs'!$P$3</c:f>
              <c:strCache>
                <c:ptCount val="1"/>
                <c:pt idx="0">
                  <c:v>No</c:v>
                </c:pt>
              </c:strCache>
            </c:strRef>
          </c:tx>
          <c:spPr>
            <a:solidFill>
              <a:schemeClr val="accent2"/>
            </a:solidFill>
            <a:ln>
              <a:noFill/>
            </a:ln>
            <a:effectLst/>
          </c:spPr>
          <c:invertIfNegative val="0"/>
          <c:cat>
            <c:strRef>
              <c:f>'Old graphs'!$Q$1:$R$1</c:f>
              <c:strCache>
                <c:ptCount val="2"/>
                <c:pt idx="0">
                  <c:v>pre-Huawei</c:v>
                </c:pt>
                <c:pt idx="1">
                  <c:v>post-Huawei</c:v>
                </c:pt>
              </c:strCache>
            </c:strRef>
          </c:cat>
          <c:val>
            <c:numRef>
              <c:f>'Old graphs'!$Q$3:$R$3</c:f>
              <c:numCache>
                <c:formatCode>General</c:formatCode>
                <c:ptCount val="2"/>
                <c:pt idx="0">
                  <c:v>2</c:v>
                </c:pt>
                <c:pt idx="1">
                  <c:v>15</c:v>
                </c:pt>
              </c:numCache>
            </c:numRef>
          </c:val>
          <c:extLst>
            <c:ext xmlns:c16="http://schemas.microsoft.com/office/drawing/2014/chart" uri="{C3380CC4-5D6E-409C-BE32-E72D297353CC}">
              <c16:uniqueId val="{00000001-1B50-4C75-9374-F87A1E3E2B39}"/>
            </c:ext>
          </c:extLst>
        </c:ser>
        <c:ser>
          <c:idx val="2"/>
          <c:order val="2"/>
          <c:tx>
            <c:strRef>
              <c:f>'Old graphs'!$P$4</c:f>
              <c:strCache>
                <c:ptCount val="1"/>
                <c:pt idx="0">
                  <c:v>n./a.</c:v>
                </c:pt>
              </c:strCache>
            </c:strRef>
          </c:tx>
          <c:spPr>
            <a:solidFill>
              <a:schemeClr val="accent3"/>
            </a:solidFill>
            <a:ln>
              <a:noFill/>
            </a:ln>
            <a:effectLst/>
          </c:spPr>
          <c:invertIfNegative val="0"/>
          <c:cat>
            <c:strRef>
              <c:f>'Old graphs'!$Q$1:$R$1</c:f>
              <c:strCache>
                <c:ptCount val="2"/>
                <c:pt idx="0">
                  <c:v>pre-Huawei</c:v>
                </c:pt>
                <c:pt idx="1">
                  <c:v>post-Huawei</c:v>
                </c:pt>
              </c:strCache>
            </c:strRef>
          </c:cat>
          <c:val>
            <c:numRef>
              <c:f>'Old graphs'!$Q$4:$R$4</c:f>
              <c:numCache>
                <c:formatCode>General</c:formatCode>
                <c:ptCount val="2"/>
                <c:pt idx="0">
                  <c:v>0</c:v>
                </c:pt>
                <c:pt idx="1">
                  <c:v>1</c:v>
                </c:pt>
              </c:numCache>
            </c:numRef>
          </c:val>
          <c:extLst>
            <c:ext xmlns:c16="http://schemas.microsoft.com/office/drawing/2014/chart" uri="{C3380CC4-5D6E-409C-BE32-E72D297353CC}">
              <c16:uniqueId val="{00000002-1B50-4C75-9374-F87A1E3E2B39}"/>
            </c:ext>
          </c:extLst>
        </c:ser>
        <c:dLbls>
          <c:showLegendKey val="0"/>
          <c:showVal val="0"/>
          <c:showCatName val="0"/>
          <c:showSerName val="0"/>
          <c:showPercent val="0"/>
          <c:showBubbleSize val="0"/>
        </c:dLbls>
        <c:gapWidth val="219"/>
        <c:overlap val="-27"/>
        <c:axId val="27065008"/>
        <c:axId val="1754036880"/>
      </c:barChart>
      <c:catAx>
        <c:axId val="270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36880"/>
        <c:crosses val="autoZero"/>
        <c:auto val="1"/>
        <c:lblAlgn val="ctr"/>
        <c:lblOffset val="100"/>
        <c:noMultiLvlLbl val="0"/>
      </c:catAx>
      <c:valAx>
        <c:axId val="175403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a:t>
            </a:r>
            <a:r>
              <a:rPr lang="en-US" baseline="0"/>
              <a:t> granted? - transition cases excluded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graphs'!$X$1</c:f>
              <c:strCache>
                <c:ptCount val="1"/>
                <c:pt idx="0">
                  <c:v>Yes</c:v>
                </c:pt>
              </c:strCache>
            </c:strRef>
          </c:tx>
          <c:spPr>
            <a:solidFill>
              <a:schemeClr val="accent1"/>
            </a:solidFill>
            <a:ln>
              <a:noFill/>
            </a:ln>
            <a:effectLst/>
          </c:spPr>
          <c:invertIfNegative val="0"/>
          <c:cat>
            <c:strRef>
              <c:f>'Old graphs'!$W$2:$W$4</c:f>
              <c:strCache>
                <c:ptCount val="3"/>
                <c:pt idx="0">
                  <c:v>Duesseldorf</c:v>
                </c:pt>
                <c:pt idx="1">
                  <c:v>Mannheim</c:v>
                </c:pt>
                <c:pt idx="2">
                  <c:v>Munich</c:v>
                </c:pt>
              </c:strCache>
            </c:strRef>
          </c:cat>
          <c:val>
            <c:numRef>
              <c:f>'Old graphs'!$X$2:$X$4</c:f>
              <c:numCache>
                <c:formatCode>General</c:formatCode>
                <c:ptCount val="3"/>
                <c:pt idx="0">
                  <c:v>7</c:v>
                </c:pt>
                <c:pt idx="1">
                  <c:v>7</c:v>
                </c:pt>
                <c:pt idx="2">
                  <c:v>5</c:v>
                </c:pt>
              </c:numCache>
            </c:numRef>
          </c:val>
          <c:extLst>
            <c:ext xmlns:c16="http://schemas.microsoft.com/office/drawing/2014/chart" uri="{C3380CC4-5D6E-409C-BE32-E72D297353CC}">
              <c16:uniqueId val="{00000000-D905-49BC-A349-63E782B6E83A}"/>
            </c:ext>
          </c:extLst>
        </c:ser>
        <c:ser>
          <c:idx val="1"/>
          <c:order val="1"/>
          <c:tx>
            <c:strRef>
              <c:f>'Old graphs'!$Y$1</c:f>
              <c:strCache>
                <c:ptCount val="1"/>
                <c:pt idx="0">
                  <c:v>No</c:v>
                </c:pt>
              </c:strCache>
            </c:strRef>
          </c:tx>
          <c:spPr>
            <a:solidFill>
              <a:schemeClr val="accent2"/>
            </a:solidFill>
            <a:ln>
              <a:noFill/>
            </a:ln>
            <a:effectLst/>
          </c:spPr>
          <c:invertIfNegative val="0"/>
          <c:cat>
            <c:strRef>
              <c:f>'Old graphs'!$W$2:$W$4</c:f>
              <c:strCache>
                <c:ptCount val="3"/>
                <c:pt idx="0">
                  <c:v>Duesseldorf</c:v>
                </c:pt>
                <c:pt idx="1">
                  <c:v>Mannheim</c:v>
                </c:pt>
                <c:pt idx="2">
                  <c:v>Munich</c:v>
                </c:pt>
              </c:strCache>
            </c:strRef>
          </c:cat>
          <c:val>
            <c:numRef>
              <c:f>'Old graphs'!$Y$2:$Y$4</c:f>
              <c:numCache>
                <c:formatCode>General</c:formatCode>
                <c:ptCount val="3"/>
                <c:pt idx="0">
                  <c:v>7</c:v>
                </c:pt>
                <c:pt idx="1">
                  <c:v>8</c:v>
                </c:pt>
                <c:pt idx="2">
                  <c:v>0</c:v>
                </c:pt>
              </c:numCache>
            </c:numRef>
          </c:val>
          <c:extLst>
            <c:ext xmlns:c16="http://schemas.microsoft.com/office/drawing/2014/chart" uri="{C3380CC4-5D6E-409C-BE32-E72D297353CC}">
              <c16:uniqueId val="{00000001-D905-49BC-A349-63E782B6E83A}"/>
            </c:ext>
          </c:extLst>
        </c:ser>
        <c:ser>
          <c:idx val="2"/>
          <c:order val="2"/>
          <c:tx>
            <c:strRef>
              <c:f>'Old graphs'!$Z$1</c:f>
              <c:strCache>
                <c:ptCount val="1"/>
                <c:pt idx="0">
                  <c:v>n./a.</c:v>
                </c:pt>
              </c:strCache>
            </c:strRef>
          </c:tx>
          <c:spPr>
            <a:solidFill>
              <a:schemeClr val="accent3"/>
            </a:solidFill>
            <a:ln>
              <a:noFill/>
            </a:ln>
            <a:effectLst/>
          </c:spPr>
          <c:invertIfNegative val="0"/>
          <c:cat>
            <c:strRef>
              <c:f>'Old graphs'!$W$2:$W$4</c:f>
              <c:strCache>
                <c:ptCount val="3"/>
                <c:pt idx="0">
                  <c:v>Duesseldorf</c:v>
                </c:pt>
                <c:pt idx="1">
                  <c:v>Mannheim</c:v>
                </c:pt>
                <c:pt idx="2">
                  <c:v>Munich</c:v>
                </c:pt>
              </c:strCache>
            </c:strRef>
          </c:cat>
          <c:val>
            <c:numRef>
              <c:f>'Old graphs'!$Z$2:$Z$4</c:f>
              <c:numCache>
                <c:formatCode>General</c:formatCode>
                <c:ptCount val="3"/>
                <c:pt idx="0">
                  <c:v>1</c:v>
                </c:pt>
                <c:pt idx="1">
                  <c:v>0</c:v>
                </c:pt>
                <c:pt idx="2">
                  <c:v>0</c:v>
                </c:pt>
              </c:numCache>
            </c:numRef>
          </c:val>
          <c:extLst>
            <c:ext xmlns:c16="http://schemas.microsoft.com/office/drawing/2014/chart" uri="{C3380CC4-5D6E-409C-BE32-E72D297353CC}">
              <c16:uniqueId val="{00000002-D905-49BC-A349-63E782B6E83A}"/>
            </c:ext>
          </c:extLst>
        </c:ser>
        <c:dLbls>
          <c:showLegendKey val="0"/>
          <c:showVal val="0"/>
          <c:showCatName val="0"/>
          <c:showSerName val="0"/>
          <c:showPercent val="0"/>
          <c:showBubbleSize val="0"/>
        </c:dLbls>
        <c:gapWidth val="219"/>
        <c:overlap val="-27"/>
        <c:axId val="27069808"/>
        <c:axId val="1754061184"/>
      </c:barChart>
      <c:catAx>
        <c:axId val="270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1184"/>
        <c:crosses val="autoZero"/>
        <c:auto val="1"/>
        <c:lblAlgn val="ctr"/>
        <c:lblOffset val="100"/>
        <c:noMultiLvlLbl val="0"/>
      </c:catAx>
      <c:valAx>
        <c:axId val="175406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 (by</a:t>
            </a:r>
            <a:r>
              <a:rPr lang="en-US" baseline="0"/>
              <a:t> amount in dispute)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graphs'!$AM$2:$AM$6</c:f>
              <c:numCache>
                <c:formatCode>General</c:formatCode>
                <c:ptCount val="5"/>
                <c:pt idx="0">
                  <c:v>1</c:v>
                </c:pt>
                <c:pt idx="1">
                  <c:v>6</c:v>
                </c:pt>
                <c:pt idx="2">
                  <c:v>1</c:v>
                </c:pt>
                <c:pt idx="3">
                  <c:v>1</c:v>
                </c:pt>
                <c:pt idx="4">
                  <c:v>1</c:v>
                </c:pt>
              </c:numCache>
            </c:numRef>
          </c:val>
          <c:extLst>
            <c:ext xmlns:c16="http://schemas.microsoft.com/office/drawing/2014/chart" uri="{C3380CC4-5D6E-409C-BE32-E72D297353CC}">
              <c16:uniqueId val="{00000000-5FF1-4448-B1EF-272FC93FB7EB}"/>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graphs'!$AN$2:$AN$6</c:f>
              <c:numCache>
                <c:formatCode>General</c:formatCode>
                <c:ptCount val="5"/>
                <c:pt idx="0">
                  <c:v>2</c:v>
                </c:pt>
                <c:pt idx="1">
                  <c:v>2</c:v>
                </c:pt>
                <c:pt idx="2">
                  <c:v>3</c:v>
                </c:pt>
                <c:pt idx="3">
                  <c:v>0</c:v>
                </c:pt>
                <c:pt idx="4">
                  <c:v>0</c:v>
                </c:pt>
              </c:numCache>
            </c:numRef>
          </c:val>
          <c:extLst>
            <c:ext xmlns:c16="http://schemas.microsoft.com/office/drawing/2014/chart" uri="{C3380CC4-5D6E-409C-BE32-E72D297353CC}">
              <c16:uniqueId val="{00000001-5FF1-4448-B1EF-272FC93FB7EB}"/>
            </c:ext>
          </c:extLst>
        </c:ser>
        <c:dLbls>
          <c:showLegendKey val="0"/>
          <c:showVal val="0"/>
          <c:showCatName val="0"/>
          <c:showSerName val="0"/>
          <c:showPercent val="0"/>
          <c:showBubbleSize val="0"/>
        </c:dLbls>
        <c:gapWidth val="219"/>
        <c:overlap val="-27"/>
        <c:axId val="1472832480"/>
        <c:axId val="452677744"/>
      </c:barChart>
      <c:catAx>
        <c:axId val="14728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7744"/>
        <c:crosses val="autoZero"/>
        <c:auto val="1"/>
        <c:lblAlgn val="ctr"/>
        <c:lblOffset val="100"/>
        <c:noMultiLvlLbl val="0"/>
      </c:catAx>
      <c:valAx>
        <c:axId val="4526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3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Complaint-Decision</a:t>
            </a:r>
            <a:r>
              <a:rPr lang="en-US" baseline="0"/>
              <a:t> lag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graphs'!$V$1</c:f>
              <c:strCache>
                <c:ptCount val="1"/>
                <c:pt idx="0">
                  <c:v>Yes</c:v>
                </c:pt>
              </c:strCache>
            </c:strRef>
          </c:tx>
          <c:spPr>
            <a:solidFill>
              <a:schemeClr val="accent1"/>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graphs'!$V$2:$V$6</c:f>
              <c:numCache>
                <c:formatCode>General</c:formatCode>
                <c:ptCount val="5"/>
                <c:pt idx="0">
                  <c:v>3</c:v>
                </c:pt>
                <c:pt idx="1">
                  <c:v>10</c:v>
                </c:pt>
                <c:pt idx="2">
                  <c:v>0</c:v>
                </c:pt>
                <c:pt idx="3">
                  <c:v>1</c:v>
                </c:pt>
                <c:pt idx="4">
                  <c:v>0</c:v>
                </c:pt>
              </c:numCache>
            </c:numRef>
          </c:val>
          <c:extLst>
            <c:ext xmlns:c16="http://schemas.microsoft.com/office/drawing/2014/chart" uri="{C3380CC4-5D6E-409C-BE32-E72D297353CC}">
              <c16:uniqueId val="{00000000-A8B7-4A34-B774-F8708BE3C7F4}"/>
            </c:ext>
          </c:extLst>
        </c:ser>
        <c:ser>
          <c:idx val="1"/>
          <c:order val="1"/>
          <c:tx>
            <c:strRef>
              <c:f>'Lag graphs'!$W$1</c:f>
              <c:strCache>
                <c:ptCount val="1"/>
                <c:pt idx="0">
                  <c:v>No</c:v>
                </c:pt>
              </c:strCache>
            </c:strRef>
          </c:tx>
          <c:spPr>
            <a:solidFill>
              <a:schemeClr val="accent2"/>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graphs'!$W$2:$W$6</c:f>
              <c:numCache>
                <c:formatCode>General</c:formatCode>
                <c:ptCount val="5"/>
                <c:pt idx="0">
                  <c:v>4</c:v>
                </c:pt>
                <c:pt idx="1">
                  <c:v>9</c:v>
                </c:pt>
                <c:pt idx="2">
                  <c:v>1</c:v>
                </c:pt>
                <c:pt idx="3">
                  <c:v>0</c:v>
                </c:pt>
                <c:pt idx="4">
                  <c:v>0</c:v>
                </c:pt>
              </c:numCache>
            </c:numRef>
          </c:val>
          <c:extLst>
            <c:ext xmlns:c16="http://schemas.microsoft.com/office/drawing/2014/chart" uri="{C3380CC4-5D6E-409C-BE32-E72D297353CC}">
              <c16:uniqueId val="{00000001-A8B7-4A34-B774-F8708BE3C7F4}"/>
            </c:ext>
          </c:extLst>
        </c:ser>
        <c:ser>
          <c:idx val="2"/>
          <c:order val="2"/>
          <c:tx>
            <c:strRef>
              <c:f>'Lag graphs'!$X$1</c:f>
              <c:strCache>
                <c:ptCount val="1"/>
                <c:pt idx="0">
                  <c:v>n./a.</c:v>
                </c:pt>
              </c:strCache>
            </c:strRef>
          </c:tx>
          <c:spPr>
            <a:solidFill>
              <a:schemeClr val="accent3"/>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graphs'!$X$2:$X$6</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2-A8B7-4A34-B774-F8708BE3C7F4}"/>
            </c:ext>
          </c:extLst>
        </c:ser>
        <c:dLbls>
          <c:showLegendKey val="0"/>
          <c:showVal val="0"/>
          <c:showCatName val="0"/>
          <c:showSerName val="0"/>
          <c:showPercent val="0"/>
          <c:showBubbleSize val="0"/>
        </c:dLbls>
        <c:gapWidth val="219"/>
        <c:overlap val="-27"/>
        <c:axId val="2095091312"/>
        <c:axId val="2085634480"/>
      </c:barChart>
      <c:catAx>
        <c:axId val="2095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34480"/>
        <c:crosses val="autoZero"/>
        <c:auto val="1"/>
        <c:lblAlgn val="ctr"/>
        <c:lblOffset val="100"/>
        <c:noMultiLvlLbl val="0"/>
      </c:catAx>
      <c:valAx>
        <c:axId val="20856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9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graphs'!$AC$1</c:f>
              <c:strCache>
                <c:ptCount val="1"/>
                <c:pt idx="0">
                  <c:v>Yes</c:v>
                </c:pt>
              </c:strCache>
            </c:strRef>
          </c:tx>
          <c:spPr>
            <a:solidFill>
              <a:schemeClr val="accent1"/>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graphs'!$AC$2:$AC$6</c:f>
              <c:numCache>
                <c:formatCode>General</c:formatCode>
                <c:ptCount val="5"/>
                <c:pt idx="0">
                  <c:v>1</c:v>
                </c:pt>
                <c:pt idx="1">
                  <c:v>4</c:v>
                </c:pt>
                <c:pt idx="2">
                  <c:v>1</c:v>
                </c:pt>
                <c:pt idx="3">
                  <c:v>1</c:v>
                </c:pt>
                <c:pt idx="4">
                  <c:v>4</c:v>
                </c:pt>
              </c:numCache>
            </c:numRef>
          </c:val>
          <c:extLst>
            <c:ext xmlns:c16="http://schemas.microsoft.com/office/drawing/2014/chart" uri="{C3380CC4-5D6E-409C-BE32-E72D297353CC}">
              <c16:uniqueId val="{00000000-9C82-4A13-A544-5BB0FAB33164}"/>
            </c:ext>
          </c:extLst>
        </c:ser>
        <c:ser>
          <c:idx val="1"/>
          <c:order val="1"/>
          <c:tx>
            <c:strRef>
              <c:f>'Lag graphs'!$AD$1</c:f>
              <c:strCache>
                <c:ptCount val="1"/>
                <c:pt idx="0">
                  <c:v>No</c:v>
                </c:pt>
              </c:strCache>
            </c:strRef>
          </c:tx>
          <c:spPr>
            <a:solidFill>
              <a:schemeClr val="accent2"/>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graphs'!$AD$2:$AD$6</c:f>
              <c:numCache>
                <c:formatCode>General</c:formatCode>
                <c:ptCount val="5"/>
                <c:pt idx="0">
                  <c:v>0</c:v>
                </c:pt>
                <c:pt idx="1">
                  <c:v>6</c:v>
                </c:pt>
                <c:pt idx="2">
                  <c:v>2</c:v>
                </c:pt>
                <c:pt idx="3">
                  <c:v>4</c:v>
                </c:pt>
                <c:pt idx="4">
                  <c:v>1</c:v>
                </c:pt>
              </c:numCache>
            </c:numRef>
          </c:val>
          <c:extLst>
            <c:ext xmlns:c16="http://schemas.microsoft.com/office/drawing/2014/chart" uri="{C3380CC4-5D6E-409C-BE32-E72D297353CC}">
              <c16:uniqueId val="{00000001-9C82-4A13-A544-5BB0FAB33164}"/>
            </c:ext>
          </c:extLst>
        </c:ser>
        <c:ser>
          <c:idx val="2"/>
          <c:order val="2"/>
          <c:tx>
            <c:strRef>
              <c:f>'Lag graphs'!$AE$1</c:f>
              <c:strCache>
                <c:ptCount val="1"/>
                <c:pt idx="0">
                  <c:v>n./a.</c:v>
                </c:pt>
              </c:strCache>
            </c:strRef>
          </c:tx>
          <c:spPr>
            <a:solidFill>
              <a:schemeClr val="accent3"/>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graphs'!$AE$2:$AE$6</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9C82-4A13-A544-5BB0FAB33164}"/>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Offer-Complaint</a:t>
            </a:r>
            <a:r>
              <a:rPr lang="en-US" baseline="0"/>
              <a:t>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graphs'!$AJ$1</c:f>
              <c:strCache>
                <c:ptCount val="1"/>
                <c:pt idx="0">
                  <c:v>Yes</c:v>
                </c:pt>
              </c:strCache>
            </c:strRef>
          </c:tx>
          <c:spPr>
            <a:solidFill>
              <a:schemeClr val="accent1"/>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graphs'!$AJ$2:$AJ$6</c:f>
              <c:numCache>
                <c:formatCode>General</c:formatCode>
                <c:ptCount val="5"/>
                <c:pt idx="0">
                  <c:v>6</c:v>
                </c:pt>
                <c:pt idx="1">
                  <c:v>1</c:v>
                </c:pt>
                <c:pt idx="2">
                  <c:v>2</c:v>
                </c:pt>
                <c:pt idx="3">
                  <c:v>0</c:v>
                </c:pt>
                <c:pt idx="4">
                  <c:v>4</c:v>
                </c:pt>
              </c:numCache>
            </c:numRef>
          </c:val>
          <c:extLst>
            <c:ext xmlns:c16="http://schemas.microsoft.com/office/drawing/2014/chart" uri="{C3380CC4-5D6E-409C-BE32-E72D297353CC}">
              <c16:uniqueId val="{00000000-C206-4CB2-9F59-DCD1A4B5D67A}"/>
            </c:ext>
          </c:extLst>
        </c:ser>
        <c:ser>
          <c:idx val="1"/>
          <c:order val="1"/>
          <c:tx>
            <c:strRef>
              <c:f>'Lag graphs'!$AK$1</c:f>
              <c:strCache>
                <c:ptCount val="1"/>
                <c:pt idx="0">
                  <c:v>No</c:v>
                </c:pt>
              </c:strCache>
            </c:strRef>
          </c:tx>
          <c:spPr>
            <a:solidFill>
              <a:schemeClr val="accent2"/>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graphs'!$AK$2:$AK$6</c:f>
              <c:numCache>
                <c:formatCode>General</c:formatCode>
                <c:ptCount val="5"/>
                <c:pt idx="0">
                  <c:v>3</c:v>
                </c:pt>
                <c:pt idx="1">
                  <c:v>5</c:v>
                </c:pt>
                <c:pt idx="2">
                  <c:v>2</c:v>
                </c:pt>
                <c:pt idx="3">
                  <c:v>3</c:v>
                </c:pt>
                <c:pt idx="4">
                  <c:v>0</c:v>
                </c:pt>
              </c:numCache>
            </c:numRef>
          </c:val>
          <c:extLst>
            <c:ext xmlns:c16="http://schemas.microsoft.com/office/drawing/2014/chart" uri="{C3380CC4-5D6E-409C-BE32-E72D297353CC}">
              <c16:uniqueId val="{00000001-C206-4CB2-9F59-DCD1A4B5D67A}"/>
            </c:ext>
          </c:extLst>
        </c:ser>
        <c:ser>
          <c:idx val="2"/>
          <c:order val="2"/>
          <c:tx>
            <c:strRef>
              <c:f>'Lag graphs'!$AL$1</c:f>
              <c:strCache>
                <c:ptCount val="1"/>
                <c:pt idx="0">
                  <c:v>n./a.</c:v>
                </c:pt>
              </c:strCache>
            </c:strRef>
          </c:tx>
          <c:spPr>
            <a:solidFill>
              <a:schemeClr val="accent3"/>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graphs'!$AL$2:$AL$6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2-C206-4CB2-9F59-DCD1A4B5D67A}"/>
            </c:ext>
          </c:extLst>
        </c:ser>
        <c:dLbls>
          <c:showLegendKey val="0"/>
          <c:showVal val="0"/>
          <c:showCatName val="0"/>
          <c:showSerName val="0"/>
          <c:showPercent val="0"/>
          <c:showBubbleSize val="0"/>
        </c:dLbls>
        <c:gapWidth val="219"/>
        <c:overlap val="-27"/>
        <c:axId val="1330392480"/>
        <c:axId val="1505471904"/>
      </c:barChart>
      <c:catAx>
        <c:axId val="1330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1904"/>
        <c:crosses val="autoZero"/>
        <c:auto val="1"/>
        <c:lblAlgn val="ctr"/>
        <c:lblOffset val="100"/>
        <c:noMultiLvlLbl val="0"/>
      </c:catAx>
      <c:valAx>
        <c:axId val="15054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9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 duration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graphs'!$T$1</c:f>
              <c:strCache>
                <c:ptCount val="1"/>
                <c:pt idx="0">
                  <c:v>Invalid for Germany</c:v>
                </c:pt>
              </c:strCache>
            </c:strRef>
          </c:tx>
          <c:spPr>
            <a:solidFill>
              <a:schemeClr val="accent1"/>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graphs'!$T$2:$T$6</c:f>
              <c:numCache>
                <c:formatCode>General</c:formatCode>
                <c:ptCount val="5"/>
                <c:pt idx="0">
                  <c:v>1</c:v>
                </c:pt>
                <c:pt idx="1">
                  <c:v>1</c:v>
                </c:pt>
                <c:pt idx="2">
                  <c:v>7</c:v>
                </c:pt>
                <c:pt idx="3">
                  <c:v>3</c:v>
                </c:pt>
                <c:pt idx="4">
                  <c:v>0</c:v>
                </c:pt>
              </c:numCache>
            </c:numRef>
          </c:val>
          <c:extLst>
            <c:ext xmlns:c16="http://schemas.microsoft.com/office/drawing/2014/chart" uri="{C3380CC4-5D6E-409C-BE32-E72D297353CC}">
              <c16:uniqueId val="{00000000-CC57-4E3C-80C9-3BCD9A8500D8}"/>
            </c:ext>
          </c:extLst>
        </c:ser>
        <c:ser>
          <c:idx val="1"/>
          <c:order val="1"/>
          <c:tx>
            <c:strRef>
              <c:f>'Patent validity graphs'!$U$1</c:f>
              <c:strCache>
                <c:ptCount val="1"/>
                <c:pt idx="0">
                  <c:v>Partially invalid for Germany</c:v>
                </c:pt>
              </c:strCache>
            </c:strRef>
          </c:tx>
          <c:spPr>
            <a:solidFill>
              <a:schemeClr val="accent2"/>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graphs'!$U$2:$U$6</c:f>
              <c:numCache>
                <c:formatCode>General</c:formatCode>
                <c:ptCount val="5"/>
                <c:pt idx="0">
                  <c:v>0</c:v>
                </c:pt>
                <c:pt idx="1">
                  <c:v>1</c:v>
                </c:pt>
                <c:pt idx="2">
                  <c:v>5</c:v>
                </c:pt>
                <c:pt idx="3">
                  <c:v>6</c:v>
                </c:pt>
                <c:pt idx="4">
                  <c:v>0</c:v>
                </c:pt>
              </c:numCache>
            </c:numRef>
          </c:val>
          <c:extLst>
            <c:ext xmlns:c16="http://schemas.microsoft.com/office/drawing/2014/chart" uri="{C3380CC4-5D6E-409C-BE32-E72D297353CC}">
              <c16:uniqueId val="{00000001-CC57-4E3C-80C9-3BCD9A8500D8}"/>
            </c:ext>
          </c:extLst>
        </c:ser>
        <c:ser>
          <c:idx val="2"/>
          <c:order val="2"/>
          <c:tx>
            <c:strRef>
              <c:f>'Patent validity graphs'!$W$1</c:f>
              <c:strCache>
                <c:ptCount val="1"/>
                <c:pt idx="0">
                  <c:v>Charges dismissed</c:v>
                </c:pt>
              </c:strCache>
            </c:strRef>
          </c:tx>
          <c:spPr>
            <a:solidFill>
              <a:schemeClr val="accent3"/>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graphs'!$W$2:$W$6</c:f>
              <c:numCache>
                <c:formatCode>General</c:formatCode>
                <c:ptCount val="5"/>
                <c:pt idx="0">
                  <c:v>1</c:v>
                </c:pt>
                <c:pt idx="1">
                  <c:v>1</c:v>
                </c:pt>
                <c:pt idx="2">
                  <c:v>0</c:v>
                </c:pt>
                <c:pt idx="3">
                  <c:v>0</c:v>
                </c:pt>
                <c:pt idx="4">
                  <c:v>0</c:v>
                </c:pt>
              </c:numCache>
            </c:numRef>
          </c:val>
          <c:extLst>
            <c:ext xmlns:c16="http://schemas.microsoft.com/office/drawing/2014/chart" uri="{C3380CC4-5D6E-409C-BE32-E72D297353CC}">
              <c16:uniqueId val="{00000002-CC57-4E3C-80C9-3BCD9A8500D8}"/>
            </c:ext>
          </c:extLst>
        </c:ser>
        <c:ser>
          <c:idx val="3"/>
          <c:order val="3"/>
          <c:tx>
            <c:strRef>
              <c:f>'Patent validity graphs'!$V$1</c:f>
              <c:strCache>
                <c:ptCount val="1"/>
                <c:pt idx="0">
                  <c:v>Fully revoked</c:v>
                </c:pt>
              </c:strCache>
            </c:strRef>
          </c:tx>
          <c:spPr>
            <a:solidFill>
              <a:schemeClr val="accent4"/>
            </a:solidFill>
            <a:ln>
              <a:noFill/>
            </a:ln>
            <a:effectLst/>
          </c:spPr>
          <c:invertIfNegative val="0"/>
          <c:val>
            <c:numRef>
              <c:f>'Patent validity graphs'!$V$2:$V$6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0-7719-4D8B-ABC0-F2F28FE503FF}"/>
            </c:ext>
          </c:extLst>
        </c:ser>
        <c:dLbls>
          <c:showLegendKey val="0"/>
          <c:showVal val="0"/>
          <c:showCatName val="0"/>
          <c:showSerName val="0"/>
          <c:showPercent val="0"/>
          <c:showBubbleSize val="0"/>
        </c:dLbls>
        <c:gapWidth val="219"/>
        <c:overlap val="-27"/>
        <c:axId val="1664745616"/>
        <c:axId val="1505478848"/>
      </c:barChart>
      <c:catAx>
        <c:axId val="16647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8848"/>
        <c:crosses val="autoZero"/>
        <c:auto val="1"/>
        <c:lblAlgn val="ctr"/>
        <c:lblOffset val="100"/>
        <c:noMultiLvlLbl val="0"/>
      </c:catAx>
      <c:valAx>
        <c:axId val="15054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graphs'!$T$27</c:f>
              <c:strCache>
                <c:ptCount val="1"/>
                <c:pt idx="0">
                  <c:v>Yes</c:v>
                </c:pt>
              </c:strCache>
            </c:strRef>
          </c:tx>
          <c:spPr>
            <a:solidFill>
              <a:schemeClr val="accent1"/>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graphs'!$T$28:$T$30</c:f>
              <c:numCache>
                <c:formatCode>General</c:formatCode>
                <c:ptCount val="3"/>
                <c:pt idx="0">
                  <c:v>25</c:v>
                </c:pt>
                <c:pt idx="1">
                  <c:v>16</c:v>
                </c:pt>
                <c:pt idx="2">
                  <c:v>1</c:v>
                </c:pt>
              </c:numCache>
            </c:numRef>
          </c:val>
          <c:extLst>
            <c:ext xmlns:c16="http://schemas.microsoft.com/office/drawing/2014/chart" uri="{C3380CC4-5D6E-409C-BE32-E72D297353CC}">
              <c16:uniqueId val="{00000000-58B3-4377-8AA4-EB050107DBAC}"/>
            </c:ext>
          </c:extLst>
        </c:ser>
        <c:ser>
          <c:idx val="1"/>
          <c:order val="1"/>
          <c:tx>
            <c:strRef>
              <c:f>'Patent validity graphs'!$U$27</c:f>
              <c:strCache>
                <c:ptCount val="1"/>
                <c:pt idx="0">
                  <c:v>No</c:v>
                </c:pt>
              </c:strCache>
            </c:strRef>
          </c:tx>
          <c:spPr>
            <a:solidFill>
              <a:schemeClr val="accent2"/>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graphs'!$U$28:$U$30</c:f>
              <c:numCache>
                <c:formatCode>General</c:formatCode>
                <c:ptCount val="3"/>
                <c:pt idx="0">
                  <c:v>1</c:v>
                </c:pt>
                <c:pt idx="1">
                  <c:v>0</c:v>
                </c:pt>
                <c:pt idx="2">
                  <c:v>0</c:v>
                </c:pt>
              </c:numCache>
            </c:numRef>
          </c:val>
          <c:extLst>
            <c:ext xmlns:c16="http://schemas.microsoft.com/office/drawing/2014/chart" uri="{C3380CC4-5D6E-409C-BE32-E72D297353CC}">
              <c16:uniqueId val="{00000001-58B3-4377-8AA4-EB050107DBAC}"/>
            </c:ext>
          </c:extLst>
        </c:ser>
        <c:ser>
          <c:idx val="2"/>
          <c:order val="2"/>
          <c:tx>
            <c:strRef>
              <c:f>'Patent validity graphs'!$W$27</c:f>
              <c:strCache>
                <c:ptCount val="1"/>
                <c:pt idx="0">
                  <c:v>?</c:v>
                </c:pt>
              </c:strCache>
            </c:strRef>
          </c:tx>
          <c:spPr>
            <a:solidFill>
              <a:schemeClr val="accent3"/>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graphs'!$W$28:$W$30</c:f>
              <c:numCache>
                <c:formatCode>General</c:formatCode>
                <c:ptCount val="3"/>
                <c:pt idx="0">
                  <c:v>1</c:v>
                </c:pt>
                <c:pt idx="1">
                  <c:v>1</c:v>
                </c:pt>
                <c:pt idx="2">
                  <c:v>0</c:v>
                </c:pt>
              </c:numCache>
            </c:numRef>
          </c:val>
          <c:extLst>
            <c:ext xmlns:c16="http://schemas.microsoft.com/office/drawing/2014/chart" uri="{C3380CC4-5D6E-409C-BE32-E72D297353CC}">
              <c16:uniqueId val="{00000002-58B3-4377-8AA4-EB050107DBAC}"/>
            </c:ext>
          </c:extLst>
        </c:ser>
        <c:dLbls>
          <c:showLegendKey val="0"/>
          <c:showVal val="0"/>
          <c:showCatName val="0"/>
          <c:showSerName val="0"/>
          <c:showPercent val="0"/>
          <c:showBubbleSize val="0"/>
        </c:dLbls>
        <c:gapWidth val="219"/>
        <c:overlap val="-27"/>
        <c:axId val="538621343"/>
        <c:axId val="1505465456"/>
      </c:barChart>
      <c:catAx>
        <c:axId val="5386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65456"/>
        <c:crosses val="autoZero"/>
        <c:auto val="1"/>
        <c:lblAlgn val="ctr"/>
        <c:lblOffset val="100"/>
        <c:noMultiLvlLbl val="0"/>
      </c:catAx>
      <c:valAx>
        <c:axId val="15054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duration of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'Patent validity graphs'!$AA$1:$AC$1</c:f>
              <c:strCache>
                <c:ptCount val="3"/>
                <c:pt idx="0">
                  <c:v>Injunction case</c:v>
                </c:pt>
                <c:pt idx="1">
                  <c:v>Validity case</c:v>
                </c:pt>
                <c:pt idx="2">
                  <c:v>Median Injunction-Validity lag</c:v>
                </c:pt>
              </c:strCache>
            </c:strRef>
          </c:cat>
          <c:val>
            <c:numRef>
              <c:f>'Patent validity graphs'!$AA$2:$AC$2</c:f>
              <c:numCache>
                <c:formatCode>General</c:formatCode>
                <c:ptCount val="3"/>
                <c:pt idx="0">
                  <c:v>530</c:v>
                </c:pt>
                <c:pt idx="1">
                  <c:v>938</c:v>
                </c:pt>
                <c:pt idx="2">
                  <c:v>518.5</c:v>
                </c:pt>
              </c:numCache>
            </c:numRef>
          </c:val>
          <c:extLst>
            <c:ext xmlns:c16="http://schemas.microsoft.com/office/drawing/2014/chart" uri="{C3380CC4-5D6E-409C-BE32-E72D297353CC}">
              <c16:uniqueId val="{00000000-9255-46A8-BFA0-FBF7273A5A9D}"/>
            </c:ext>
          </c:extLst>
        </c:ser>
        <c:dLbls>
          <c:showLegendKey val="0"/>
          <c:showVal val="0"/>
          <c:showCatName val="0"/>
          <c:showSerName val="0"/>
          <c:showPercent val="0"/>
          <c:showBubbleSize val="0"/>
        </c:dLbls>
        <c:gapWidth val="182"/>
        <c:axId val="1272396448"/>
        <c:axId val="1326393568"/>
      </c:barChart>
      <c:catAx>
        <c:axId val="127239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93568"/>
        <c:crosses val="autoZero"/>
        <c:auto val="1"/>
        <c:lblAlgn val="ctr"/>
        <c:lblOffset val="100"/>
        <c:noMultiLvlLbl val="0"/>
      </c:catAx>
      <c:valAx>
        <c:axId val="132639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Injunctions Granted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A0-4E4F-8942-9DBE6245BF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A0-4E4F-8942-9DBE6245BF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('Patent validity graphs'!$AF$1,'Patent validity graphs'!$AF$3)</c:f>
              <c:strCache>
                <c:ptCount val="2"/>
                <c:pt idx="0">
                  <c:v>Patents challenged</c:v>
                </c:pt>
                <c:pt idx="1">
                  <c:v>Patents not challenged</c:v>
                </c:pt>
              </c:strCache>
            </c:strRef>
          </c:cat>
          <c:val>
            <c:numRef>
              <c:f>('Patent validity graphs'!$AF$2,'Patent validity graphs'!$AF$4)</c:f>
              <c:numCache>
                <c:formatCode>General</c:formatCode>
                <c:ptCount val="2"/>
                <c:pt idx="0">
                  <c:v>25</c:v>
                </c:pt>
                <c:pt idx="1">
                  <c:v>2</c:v>
                </c:pt>
              </c:numCache>
            </c:numRef>
          </c:val>
          <c:extLst>
            <c:ext xmlns:c16="http://schemas.microsoft.com/office/drawing/2014/chart" uri="{C3380CC4-5D6E-409C-BE32-E72D297353CC}">
              <c16:uniqueId val="{00000000-02C0-422B-8752-845CB1FC70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Injunctions and Validity challenges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D-4AC1-ADFE-3C67243A0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D-4AC1-ADFE-3C67243A0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3D-4AC1-ADFE-3C67243A0E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'Patent validity graphs'!$AE$23:$AE$26</c15:sqref>
                  </c15:fullRef>
                </c:ext>
              </c:extLst>
              <c:f>'Patent validity graphs'!$AE$24:$AE$26</c:f>
              <c:strCache>
                <c:ptCount val="3"/>
                <c:pt idx="0">
                  <c:v>Patents not challenged</c:v>
                </c:pt>
                <c:pt idx="1">
                  <c:v>Injunctions with conflicting validity decision</c:v>
                </c:pt>
                <c:pt idx="2">
                  <c:v>Injunctions w.o. conflicting validity decision</c:v>
                </c:pt>
              </c:strCache>
            </c:strRef>
          </c:cat>
          <c:val>
            <c:numRef>
              <c:extLst>
                <c:ext xmlns:c15="http://schemas.microsoft.com/office/drawing/2012/chart" uri="{02D57815-91ED-43cb-92C2-25804820EDAC}">
                  <c15:fullRef>
                    <c15:sqref>'Patent validity graphs'!$AF$23:$AF$26</c15:sqref>
                  </c15:fullRef>
                </c:ext>
              </c:extLst>
              <c:f>'Patent validity graphs'!$AF$24:$AF$26</c:f>
              <c:numCache>
                <c:formatCode>General</c:formatCode>
                <c:ptCount val="3"/>
                <c:pt idx="0">
                  <c:v>2</c:v>
                </c:pt>
                <c:pt idx="1">
                  <c:v>12</c:v>
                </c:pt>
                <c:pt idx="2">
                  <c:v>13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48FE-4F7E-980B-5EAEEAFBBC33}"/>
            </c:ext>
          </c:extLst>
        </c:ser>
        <c:dLbls>
          <c:dLblPos val="inEnd"/>
          <c:showLegendKey val="0"/>
          <c:showVal val="0"/>
          <c:showCatName val="0"/>
          <c:showSerName val="0"/>
          <c:showPercent val="1"/>
          <c:showBubbleSize val="0"/>
          <c:showLeaderLines val="1"/>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worldwide'!$A$3:$B$3</c:f>
              <c:strCache>
                <c:ptCount val="2"/>
                <c:pt idx="0">
                  <c:v>Injunction</c:v>
                </c:pt>
                <c:pt idx="1">
                  <c:v>Yes</c:v>
                </c:pt>
              </c:strCache>
            </c:strRef>
          </c:tx>
          <c:spPr>
            <a:solidFill>
              <a:schemeClr val="accent1"/>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worldwide'!$C$3:$D$3</c:f>
              <c:numCache>
                <c:formatCode>General</c:formatCode>
                <c:ptCount val="2"/>
                <c:pt idx="0">
                  <c:v>14</c:v>
                </c:pt>
                <c:pt idx="1">
                  <c:v>5</c:v>
                </c:pt>
              </c:numCache>
            </c:numRef>
          </c:val>
          <c:extLst>
            <c:ext xmlns:c16="http://schemas.microsoft.com/office/drawing/2014/chart" uri="{C3380CC4-5D6E-409C-BE32-E72D297353CC}">
              <c16:uniqueId val="{00000000-5E78-4807-A367-BC17278A636C}"/>
            </c:ext>
          </c:extLst>
        </c:ser>
        <c:ser>
          <c:idx val="1"/>
          <c:order val="1"/>
          <c:tx>
            <c:strRef>
              <c:f>'FRAND pools and worldwide'!$A$4:$B$4</c:f>
              <c:strCache>
                <c:ptCount val="2"/>
                <c:pt idx="0">
                  <c:v>Injunction</c:v>
                </c:pt>
                <c:pt idx="1">
                  <c:v>No</c:v>
                </c:pt>
              </c:strCache>
            </c:strRef>
          </c:tx>
          <c:spPr>
            <a:solidFill>
              <a:schemeClr val="accent2"/>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worldwide'!$C$4:$D$4</c:f>
              <c:numCache>
                <c:formatCode>General</c:formatCode>
                <c:ptCount val="2"/>
                <c:pt idx="0">
                  <c:v>10</c:v>
                </c:pt>
                <c:pt idx="1">
                  <c:v>5</c:v>
                </c:pt>
              </c:numCache>
            </c:numRef>
          </c:val>
          <c:extLst>
            <c:ext xmlns:c16="http://schemas.microsoft.com/office/drawing/2014/chart" uri="{C3380CC4-5D6E-409C-BE32-E72D297353CC}">
              <c16:uniqueId val="{00000001-5E78-4807-A367-BC17278A636C}"/>
            </c:ext>
          </c:extLst>
        </c:ser>
        <c:ser>
          <c:idx val="2"/>
          <c:order val="2"/>
          <c:tx>
            <c:strRef>
              <c:f>'FRAND pools and worldwide'!$A$5:$B$5</c:f>
              <c:strCache>
                <c:ptCount val="2"/>
                <c:pt idx="0">
                  <c:v>Injunction</c:v>
                </c:pt>
                <c:pt idx="1">
                  <c:v>n./a.</c:v>
                </c:pt>
              </c:strCache>
            </c:strRef>
          </c:tx>
          <c:spPr>
            <a:solidFill>
              <a:schemeClr val="accent3"/>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worldwide'!$C$5:$D$5</c:f>
              <c:numCache>
                <c:formatCode>General</c:formatCode>
                <c:ptCount val="2"/>
                <c:pt idx="0">
                  <c:v>0</c:v>
                </c:pt>
                <c:pt idx="1">
                  <c:v>1</c:v>
                </c:pt>
              </c:numCache>
            </c:numRef>
          </c:val>
          <c:extLst>
            <c:ext xmlns:c16="http://schemas.microsoft.com/office/drawing/2014/chart" uri="{C3380CC4-5D6E-409C-BE32-E72D297353CC}">
              <c16:uniqueId val="{00000002-5E78-4807-A367-BC17278A636C}"/>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worldwide'!$H$3:$I$3</c:f>
              <c:strCache>
                <c:ptCount val="2"/>
                <c:pt idx="0">
                  <c:v>Injunction</c:v>
                </c:pt>
                <c:pt idx="1">
                  <c:v>Yes</c:v>
                </c:pt>
              </c:strCache>
            </c:strRef>
          </c:tx>
          <c:spPr>
            <a:solidFill>
              <a:schemeClr val="accent1"/>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worldwide'!$J$3:$K$3</c:f>
              <c:numCache>
                <c:formatCode>General</c:formatCode>
                <c:ptCount val="2"/>
                <c:pt idx="0">
                  <c:v>11</c:v>
                </c:pt>
                <c:pt idx="1">
                  <c:v>8</c:v>
                </c:pt>
              </c:numCache>
            </c:numRef>
          </c:val>
          <c:extLst>
            <c:ext xmlns:c16="http://schemas.microsoft.com/office/drawing/2014/chart" uri="{C3380CC4-5D6E-409C-BE32-E72D297353CC}">
              <c16:uniqueId val="{00000000-F07C-4005-8F69-07A2FDCAE20C}"/>
            </c:ext>
          </c:extLst>
        </c:ser>
        <c:ser>
          <c:idx val="1"/>
          <c:order val="1"/>
          <c:tx>
            <c:strRef>
              <c:f>'FRAND pools and worldwide'!$H$4:$I$4</c:f>
              <c:strCache>
                <c:ptCount val="2"/>
                <c:pt idx="0">
                  <c:v>Injunction</c:v>
                </c:pt>
                <c:pt idx="1">
                  <c:v>No</c:v>
                </c:pt>
              </c:strCache>
            </c:strRef>
          </c:tx>
          <c:spPr>
            <a:solidFill>
              <a:schemeClr val="accent2"/>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worldwide'!$J$4:$K$4</c:f>
              <c:numCache>
                <c:formatCode>General</c:formatCode>
                <c:ptCount val="2"/>
                <c:pt idx="0">
                  <c:v>0</c:v>
                </c:pt>
                <c:pt idx="1">
                  <c:v>15</c:v>
                </c:pt>
              </c:numCache>
            </c:numRef>
          </c:val>
          <c:extLst>
            <c:ext xmlns:c16="http://schemas.microsoft.com/office/drawing/2014/chart" uri="{C3380CC4-5D6E-409C-BE32-E72D297353CC}">
              <c16:uniqueId val="{00000001-F07C-4005-8F69-07A2FDCAE20C}"/>
            </c:ext>
          </c:extLst>
        </c:ser>
        <c:ser>
          <c:idx val="2"/>
          <c:order val="2"/>
          <c:tx>
            <c:strRef>
              <c:f>'FRAND pools and worldwide'!$H$5:$I$5</c:f>
              <c:strCache>
                <c:ptCount val="2"/>
                <c:pt idx="0">
                  <c:v>Injunction</c:v>
                </c:pt>
                <c:pt idx="1">
                  <c:v>n./a.</c:v>
                </c:pt>
              </c:strCache>
            </c:strRef>
          </c:tx>
          <c:spPr>
            <a:solidFill>
              <a:schemeClr val="accent3"/>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worldwide'!$J$5:$K$5</c:f>
              <c:numCache>
                <c:formatCode>General</c:formatCode>
                <c:ptCount val="2"/>
                <c:pt idx="0">
                  <c:v>1</c:v>
                </c:pt>
                <c:pt idx="1">
                  <c:v>0</c:v>
                </c:pt>
              </c:numCache>
            </c:numRef>
          </c:val>
          <c:extLst>
            <c:ext xmlns:c16="http://schemas.microsoft.com/office/drawing/2014/chart" uri="{C3380CC4-5D6E-409C-BE32-E72D297353CC}">
              <c16:uniqueId val="{00000003-F07C-4005-8F69-07A2FDCAE20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148590</xdr:colOff>
      <xdr:row>4</xdr:row>
      <xdr:rowOff>168592</xdr:rowOff>
    </xdr:from>
    <xdr:to>
      <xdr:col>7</xdr:col>
      <xdr:colOff>281940</xdr:colOff>
      <xdr:row>20</xdr:row>
      <xdr:rowOff>16192</xdr:rowOff>
    </xdr:to>
    <xdr:graphicFrame macro="">
      <xdr:nvGraphicFramePr>
        <xdr:cNvPr id="2" name="Chart 1">
          <a:extLst>
            <a:ext uri="{FF2B5EF4-FFF2-40B4-BE49-F238E27FC236}">
              <a16:creationId xmlns:a16="http://schemas.microsoft.com/office/drawing/2014/main" id="{B5CB4AC6-26B7-C4DC-14B1-4D8A47B45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xdr:colOff>
      <xdr:row>12</xdr:row>
      <xdr:rowOff>16192</xdr:rowOff>
    </xdr:from>
    <xdr:to>
      <xdr:col>14</xdr:col>
      <xdr:colOff>581025</xdr:colOff>
      <xdr:row>27</xdr:row>
      <xdr:rowOff>44767</xdr:rowOff>
    </xdr:to>
    <xdr:graphicFrame macro="">
      <xdr:nvGraphicFramePr>
        <xdr:cNvPr id="3" name="Chart 2">
          <a:extLst>
            <a:ext uri="{FF2B5EF4-FFF2-40B4-BE49-F238E27FC236}">
              <a16:creationId xmlns:a16="http://schemas.microsoft.com/office/drawing/2014/main" id="{CF0504CF-2A87-E636-D2F1-D4365324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xdr:colOff>
      <xdr:row>5</xdr:row>
      <xdr:rowOff>8572</xdr:rowOff>
    </xdr:from>
    <xdr:to>
      <xdr:col>21</xdr:col>
      <xdr:colOff>574357</xdr:colOff>
      <xdr:row>20</xdr:row>
      <xdr:rowOff>35242</xdr:rowOff>
    </xdr:to>
    <xdr:graphicFrame macro="">
      <xdr:nvGraphicFramePr>
        <xdr:cNvPr id="4" name="Chart 3">
          <a:extLst>
            <a:ext uri="{FF2B5EF4-FFF2-40B4-BE49-F238E27FC236}">
              <a16:creationId xmlns:a16="http://schemas.microsoft.com/office/drawing/2014/main" id="{B53800A1-B4B9-430A-B878-A17ACAE01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153352</xdr:colOff>
      <xdr:row>5</xdr:row>
      <xdr:rowOff>21907</xdr:rowOff>
    </xdr:from>
    <xdr:to>
      <xdr:col>29</xdr:col>
      <xdr:colOff>465772</xdr:colOff>
      <xdr:row>20</xdr:row>
      <xdr:rowOff>58102</xdr:rowOff>
    </xdr:to>
    <xdr:graphicFrame macro="">
      <xdr:nvGraphicFramePr>
        <xdr:cNvPr id="5" name="Chart 4">
          <a:extLst>
            <a:ext uri="{FF2B5EF4-FFF2-40B4-BE49-F238E27FC236}">
              <a16:creationId xmlns:a16="http://schemas.microsoft.com/office/drawing/2014/main" id="{6DDCFF84-1CFB-ADA8-D68A-F25932D3D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6</xdr:row>
      <xdr:rowOff>178117</xdr:rowOff>
    </xdr:from>
    <xdr:to>
      <xdr:col>43</xdr:col>
      <xdr:colOff>125730</xdr:colOff>
      <xdr:row>22</xdr:row>
      <xdr:rowOff>25717</xdr:rowOff>
    </xdr:to>
    <xdr:graphicFrame macro="">
      <xdr:nvGraphicFramePr>
        <xdr:cNvPr id="6" name="Chart 5">
          <a:extLst>
            <a:ext uri="{FF2B5EF4-FFF2-40B4-BE49-F238E27FC236}">
              <a16:creationId xmlns:a16="http://schemas.microsoft.com/office/drawing/2014/main" id="{75F924FA-DC6B-F84A-933D-050F35E18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28575</xdr:colOff>
      <xdr:row>7</xdr:row>
      <xdr:rowOff>130492</xdr:rowOff>
    </xdr:from>
    <xdr:to>
      <xdr:col>25</xdr:col>
      <xdr:colOff>428625</xdr:colOff>
      <xdr:row>22</xdr:row>
      <xdr:rowOff>159067</xdr:rowOff>
    </xdr:to>
    <xdr:graphicFrame macro="">
      <xdr:nvGraphicFramePr>
        <xdr:cNvPr id="2" name="Chart 1">
          <a:extLst>
            <a:ext uri="{FF2B5EF4-FFF2-40B4-BE49-F238E27FC236}">
              <a16:creationId xmlns:a16="http://schemas.microsoft.com/office/drawing/2014/main" id="{DE6F6C6A-C2B0-478B-4B2C-B7CAE3D7D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601980</xdr:colOff>
      <xdr:row>7</xdr:row>
      <xdr:rowOff>159067</xdr:rowOff>
    </xdr:from>
    <xdr:to>
      <xdr:col>33</xdr:col>
      <xdr:colOff>392430</xdr:colOff>
      <xdr:row>23</xdr:row>
      <xdr:rowOff>6667</xdr:rowOff>
    </xdr:to>
    <xdr:graphicFrame macro="">
      <xdr:nvGraphicFramePr>
        <xdr:cNvPr id="3" name="Chart 2">
          <a:extLst>
            <a:ext uri="{FF2B5EF4-FFF2-40B4-BE49-F238E27FC236}">
              <a16:creationId xmlns:a16="http://schemas.microsoft.com/office/drawing/2014/main" id="{7EF6E7A5-1345-2E38-8881-AFB47E42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15240</xdr:colOff>
      <xdr:row>8</xdr:row>
      <xdr:rowOff>12382</xdr:rowOff>
    </xdr:from>
    <xdr:to>
      <xdr:col>41</xdr:col>
      <xdr:colOff>323850</xdr:colOff>
      <xdr:row>23</xdr:row>
      <xdr:rowOff>40957</xdr:rowOff>
    </xdr:to>
    <xdr:graphicFrame macro="">
      <xdr:nvGraphicFramePr>
        <xdr:cNvPr id="4" name="Chart 3">
          <a:extLst>
            <a:ext uri="{FF2B5EF4-FFF2-40B4-BE49-F238E27FC236}">
              <a16:creationId xmlns:a16="http://schemas.microsoft.com/office/drawing/2014/main" id="{0B731F7C-E529-B3E0-29D3-74B89587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306705</xdr:colOff>
      <xdr:row>9</xdr:row>
      <xdr:rowOff>6667</xdr:rowOff>
    </xdr:from>
    <xdr:to>
      <xdr:col>22</xdr:col>
      <xdr:colOff>720090</xdr:colOff>
      <xdr:row>24</xdr:row>
      <xdr:rowOff>35242</xdr:rowOff>
    </xdr:to>
    <xdr:graphicFrame macro="">
      <xdr:nvGraphicFramePr>
        <xdr:cNvPr id="2" name="Chart 1">
          <a:extLst>
            <a:ext uri="{FF2B5EF4-FFF2-40B4-BE49-F238E27FC236}">
              <a16:creationId xmlns:a16="http://schemas.microsoft.com/office/drawing/2014/main" id="{135332DF-D4F1-A53E-DA79-8993E89F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392430</xdr:colOff>
      <xdr:row>31</xdr:row>
      <xdr:rowOff>58102</xdr:rowOff>
    </xdr:from>
    <xdr:to>
      <xdr:col>22</xdr:col>
      <xdr:colOff>819150</xdr:colOff>
      <xdr:row>46</xdr:row>
      <xdr:rowOff>88582</xdr:rowOff>
    </xdr:to>
    <xdr:graphicFrame macro="">
      <xdr:nvGraphicFramePr>
        <xdr:cNvPr id="3" name="Chart 2">
          <a:extLst>
            <a:ext uri="{FF2B5EF4-FFF2-40B4-BE49-F238E27FC236}">
              <a16:creationId xmlns:a16="http://schemas.microsoft.com/office/drawing/2014/main" id="{FA137B34-C5C8-85B5-3918-31FE5880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619125</xdr:colOff>
      <xdr:row>4</xdr:row>
      <xdr:rowOff>159067</xdr:rowOff>
    </xdr:from>
    <xdr:to>
      <xdr:col>28</xdr:col>
      <xdr:colOff>729615</xdr:colOff>
      <xdr:row>20</xdr:row>
      <xdr:rowOff>6667</xdr:rowOff>
    </xdr:to>
    <xdr:graphicFrame macro="">
      <xdr:nvGraphicFramePr>
        <xdr:cNvPr id="6" name="Chart 5">
          <a:extLst>
            <a:ext uri="{FF2B5EF4-FFF2-40B4-BE49-F238E27FC236}">
              <a16:creationId xmlns:a16="http://schemas.microsoft.com/office/drawing/2014/main" id="{EA4BC24E-2C43-A425-BE14-CBF2914D9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401002</xdr:colOff>
      <xdr:row>4</xdr:row>
      <xdr:rowOff>44767</xdr:rowOff>
    </xdr:from>
    <xdr:to>
      <xdr:col>32</xdr:col>
      <xdr:colOff>1201102</xdr:colOff>
      <xdr:row>19</xdr:row>
      <xdr:rowOff>73342</xdr:rowOff>
    </xdr:to>
    <xdr:graphicFrame macro="">
      <xdr:nvGraphicFramePr>
        <xdr:cNvPr id="8" name="Chart 7">
          <a:extLst>
            <a:ext uri="{FF2B5EF4-FFF2-40B4-BE49-F238E27FC236}">
              <a16:creationId xmlns:a16="http://schemas.microsoft.com/office/drawing/2014/main" id="{432A4D03-7BF8-6912-3DD4-5BCDF4D95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178117</xdr:colOff>
      <xdr:row>27</xdr:row>
      <xdr:rowOff>8572</xdr:rowOff>
    </xdr:from>
    <xdr:to>
      <xdr:col>32</xdr:col>
      <xdr:colOff>968692</xdr:colOff>
      <xdr:row>42</xdr:row>
      <xdr:rowOff>35242</xdr:rowOff>
    </xdr:to>
    <xdr:graphicFrame macro="">
      <xdr:nvGraphicFramePr>
        <xdr:cNvPr id="11" name="Chart 10">
          <a:extLst>
            <a:ext uri="{FF2B5EF4-FFF2-40B4-BE49-F238E27FC236}">
              <a16:creationId xmlns:a16="http://schemas.microsoft.com/office/drawing/2014/main" id="{FCA41BD2-2999-698A-0508-D98D0A56C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56197</xdr:rowOff>
    </xdr:from>
    <xdr:to>
      <xdr:col>4</xdr:col>
      <xdr:colOff>476250</xdr:colOff>
      <xdr:row>21</xdr:row>
      <xdr:rowOff>82867</xdr:rowOff>
    </xdr:to>
    <xdr:graphicFrame macro="">
      <xdr:nvGraphicFramePr>
        <xdr:cNvPr id="2" name="Chart 1">
          <a:extLst>
            <a:ext uri="{FF2B5EF4-FFF2-40B4-BE49-F238E27FC236}">
              <a16:creationId xmlns:a16="http://schemas.microsoft.com/office/drawing/2014/main" id="{6CDFBF04-2944-5746-DF5F-4AA460363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820102</xdr:colOff>
      <xdr:row>6</xdr:row>
      <xdr:rowOff>84772</xdr:rowOff>
    </xdr:from>
    <xdr:to>
      <xdr:col>14</xdr:col>
      <xdr:colOff>298132</xdr:colOff>
      <xdr:row>21</xdr:row>
      <xdr:rowOff>111442</xdr:rowOff>
    </xdr:to>
    <xdr:graphicFrame macro="">
      <xdr:nvGraphicFramePr>
        <xdr:cNvPr id="3" name="Chart 2">
          <a:extLst>
            <a:ext uri="{FF2B5EF4-FFF2-40B4-BE49-F238E27FC236}">
              <a16:creationId xmlns:a16="http://schemas.microsoft.com/office/drawing/2014/main" id="{F5814D24-F2F4-EF5B-CA6C-41A29823D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W2" dT="2023-11-08T18:29:21.24" personId="{93238EA4-A97E-43A0-A9D2-13620007081D}" id="{760D0934-BF9D-4C69-AF37-1550B8C132F6}">
    <text>.44</text>
  </threadedComment>
  <threadedComment ref="Y2" dT="2023-11-13T14:07:59.33" personId="{93238EA4-A97E-43A0-A9D2-13620007081D}" id="{09ABC5ED-676B-421E-8C70-24D2B651E89A}">
    <text>.178</text>
  </threadedComment>
  <threadedComment ref="Z2" dT="2023-11-13T14:08:12.31" personId="{93238EA4-A97E-43A0-A9D2-13620007081D}" id="{3FC0B788-4BA4-41E5-9503-44B804CF0B82}">
    <text>.178
.235</text>
  </threadedComment>
  <threadedComment ref="AA2" dT="2023-11-21T23:48:24.18" personId="{93238EA4-A97E-43A0-A9D2-13620007081D}" id="{F5A0BE9F-4E30-4E8E-A595-3BDD3582257D}">
    <text>.192</text>
  </threadedComment>
  <threadedComment ref="AB2" dT="2023-11-08T19:00:06.94" personId="{93238EA4-A97E-43A0-A9D2-13620007081D}" id="{54BDBA3F-0F0E-4E2C-AF7F-51E919A64ED0}">
    <text>.202
.204
.209-.211
.236</text>
  </threadedComment>
  <threadedComment ref="AF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2-15T12:35:44.77" personId="{93238EA4-A97E-43A0-A9D2-13620007081D}" id="{DA84183E-797B-4622-9993-537F3C66219B}" parentId="{5C6604AF-E5AE-43FE-9331-6C0D6681ACC3}">
    <text>Used to be Yes?</text>
  </threadedComment>
  <threadedComment ref="AG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U3" dT="2023-11-13T14:31:12.12" personId="{93238EA4-A97E-43A0-A9D2-13620007081D}" id="{F7ECCF8D-F121-43B0-AFFC-4E1B8740309B}">
    <text>23.07.2014
Different from the date of complaint/first action from DartsIP</text>
  </threadedComment>
  <threadedComment ref="W3" dT="2023-11-13T14:32:38.70" personId="{93238EA4-A97E-43A0-A9D2-13620007081D}" id="{3B01E2B0-4600-42D9-8A42-09387AE94935}">
    <text>.20</text>
  </threadedComment>
  <threadedComment ref="Y3" dT="2023-11-13T14:34:53.22" personId="{93238EA4-A97E-43A0-A9D2-13620007081D}" id="{05C730CB-E528-4FBE-910E-7CEAC7287E64}">
    <text>.206</text>
  </threadedComment>
  <threadedComment ref="Z3" dT="2023-11-13T14:35:03.15" personId="{93238EA4-A97E-43A0-A9D2-13620007081D}" id="{D4B076FD-B996-455E-949F-5B061DCFF774}">
    <text>.206
.208
.214
.232
.245</text>
  </threadedComment>
  <threadedComment ref="AA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B3" dT="2023-11-13T14:38:32.93" personId="{93238EA4-A97E-43A0-A9D2-13620007081D}" id="{C76B113D-2116-4F6D-B482-2F9484C43605}">
    <text>.249
.318</text>
  </threadedComment>
  <threadedComment ref="AC3" dT="2023-11-10T22:03:29.88" personId="{93238EA4-A97E-43A0-A9D2-13620007081D}" id="{69EE2237-2F26-4DB5-B64E-FBACC48C9B2A}">
    <text>.262
.349</text>
  </threadedComment>
  <threadedComment ref="AD3" dT="2023-11-22T00:16:47.86" personId="{93238EA4-A97E-43A0-A9D2-13620007081D}" id="{BCB95FAD-D1B2-4DB6-ABAB-12A6049381EF}">
    <text>.222
.264</text>
  </threadedComment>
  <threadedComment ref="AE3" dT="2023-11-22T00:20:04.37" personId="{93238EA4-A97E-43A0-A9D2-13620007081D}" id="{D80FC576-C009-4925-9C49-782EEB13233F}">
    <text>.272</text>
  </threadedComment>
  <threadedComment ref="AF3" dT="2023-11-10T21:49:04.76" personId="{93238EA4-A97E-43A0-A9D2-13620007081D}" id="{F26FABA7-BF63-4365-B691-F2D482124B24}">
    <text>.24
.69
.293</text>
  </threadedComment>
  <threadedComment ref="AF3" dT="2023-12-15T12:35:47.67" personId="{93238EA4-A97E-43A0-A9D2-13620007081D}" id="{40787877-B169-44FF-AB71-9273FA39AA05}" parentId="{F26FABA7-BF63-4365-B691-F2D482124B24}">
    <text>Used to be Yes?</text>
  </threadedComment>
  <threadedComment ref="AG3" dT="2023-11-10T22:03:21.86" personId="{93238EA4-A97E-43A0-A9D2-13620007081D}" id="{25FEC53B-1F02-480D-8A02-F205E5231F1C}">
    <text>.19
.40</text>
  </threadedComment>
  <threadedComment ref="AS3" dT="2023-12-27T21:50:40.95" personId="{93238EA4-A97E-43A0-A9D2-13620007081D}" id="{F0540B8A-E4E2-4783-AB3B-FDC1AC4E12C0}">
    <text>Darts</text>
  </threadedComment>
  <threadedComment ref="S4" dT="2023-11-13T15:03:44.55" personId="{93238EA4-A97E-43A0-A9D2-13620007081D}" id="{C7A34E9B-42D6-4223-A2EC-B83E648A12E1}">
    <text>.21</text>
  </threadedComment>
  <threadedComment ref="W4" dT="2023-11-13T15:03:44.55" personId="{93238EA4-A97E-43A0-A9D2-13620007081D}" id="{0FDF7B4E-F80B-4D5D-9508-BCA76E1AF56D}">
    <text>.21</text>
  </threadedComment>
  <threadedComment ref="Y4" dT="2023-11-13T15:07:41.12" personId="{93238EA4-A97E-43A0-A9D2-13620007081D}" id="{ACEA1250-EEE4-45B6-A7F1-E3EEA885D7B5}">
    <text>.212</text>
  </threadedComment>
  <threadedComment ref="Z4" dT="2023-11-12T19:07:55.76" personId="{93238EA4-A97E-43A0-A9D2-13620007081D}" id="{DF4F750F-4B2B-4D46-A026-467AA325150E}">
    <text>.214
.411</text>
  </threadedComment>
  <threadedComment ref="AA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B4" dT="2023-11-12T19:05:40.14" personId="{93238EA4-A97E-43A0-A9D2-13620007081D}" id="{3B039CF9-F112-4241-9EB5-92FBBCE7E65D}">
    <text>.255
.322
.324</text>
  </threadedComment>
  <threadedComment ref="AC4" dT="2023-11-12T19:11:03.36" personId="{93238EA4-A97E-43A0-A9D2-13620007081D}" id="{E444A568-6EE7-4F2F-B9C7-4B5CEB3C440C}">
    <text>.268
.355</text>
  </threadedComment>
  <threadedComment ref="AD4" dT="2023-11-22T00:59:36.94" personId="{93238EA4-A97E-43A0-A9D2-13620007081D}" id="{EF6135B1-3B0B-4CE4-AE02-BA4C789FE242}">
    <text>.228
.270</text>
  </threadedComment>
  <threadedComment ref="AE4" dT="2023-11-22T01:00:32.03" personId="{93238EA4-A97E-43A0-A9D2-13620007081D}" id="{4975D8EC-BB7B-4105-BCA0-009A957DF48B}">
    <text>.278</text>
  </threadedComment>
  <threadedComment ref="AF4" dT="2023-11-12T19:05:27.59" personId="{93238EA4-A97E-43A0-A9D2-13620007081D}" id="{8DB86B3D-DD11-4949-910D-9E0128DC65BB}">
    <text>.25
.284
.299-.306
.322
.411</text>
  </threadedComment>
  <threadedComment ref="AF4" dT="2023-12-15T12:35:50.80" personId="{93238EA4-A97E-43A0-A9D2-13620007081D}" id="{24D82C51-BFB2-4E9C-875F-263621A41261}" parentId="{8DB86B3D-DD11-4949-910D-9E0128DC65BB}">
    <text>Used to be Yes?</text>
  </threadedComment>
  <threadedComment ref="AG4" dT="2023-11-12T19:08:55.65" personId="{93238EA4-A97E-43A0-A9D2-13620007081D}" id="{CCD9029B-A84F-4461-9CC9-C4357A3F04C4}">
    <text>.20
.41
.308-.310
.311-314</text>
  </threadedComment>
  <threadedComment ref="AP4" dT="2023-11-27T13:40:07.66" personId="{93238EA4-A97E-43A0-A9D2-13620007081D}" id="{94390C78-891B-4C95-81E6-C4BC83535A9C}">
    <text xml:space="preserve">INEFFECTIVE!
Die Entscheidung ist wirkungslos. Die Klage wurde am 28.12.2018 zurückgenommen. </text>
  </threadedComment>
  <threadedComment ref="S5" dT="2023-11-13T13:48:43.90" personId="{93238EA4-A97E-43A0-A9D2-13620007081D}" id="{9B5DAED8-A47B-4E28-8D97-A5560CDC1A9E}">
    <text>.24</text>
  </threadedComment>
  <threadedComment ref="W5" dT="2023-11-13T15:18:57.72" personId="{93238EA4-A97E-43A0-A9D2-13620007081D}" id="{296F93B9-99F2-4F61-BECE-7A0D761E461C}">
    <text>.24</text>
  </threadedComment>
  <threadedComment ref="Y5" dT="2023-11-13T15:20:47.96" personId="{93238EA4-A97E-43A0-A9D2-13620007081D}" id="{470EA1B4-933D-4D82-ABF2-A135E493EB3D}">
    <text>.341</text>
  </threadedComment>
  <threadedComment ref="Z5" dT="2023-11-10T16:39:57.82" personId="{93238EA4-A97E-43A0-A9D2-13620007081D}" id="{09131516-692C-4B01-8F50-614CC71997B1}">
    <text>.412
.525-.526
v (no)
.351</text>
  </threadedComment>
  <threadedComment ref="Z5" dT="2023-12-15T12:24:24.70" personId="{93238EA4-A97E-43A0-A9D2-13620007081D}" id="{C2EBF01F-AE09-4D0A-BE04-9C8E3FE940F9}" parentId="{09131516-692C-4B01-8F50-614CC71997B1}">
    <text>Used to be Yes?</text>
  </threadedComment>
  <threadedComment ref="AA5" dT="2023-11-13T13:49:06.12" personId="{93238EA4-A97E-43A0-A9D2-13620007081D}" id="{7BEC2076-7775-45DA-8B7A-EDAF8A2A8F1D}">
    <text>.24
.355</text>
  </threadedComment>
  <threadedComment ref="AB5" dT="2023-11-10T12:37:12.16" personId="{93238EA4-A97E-43A0-A9D2-13620007081D}" id="{E040E2EA-F314-47C3-A4D7-7285C84B659B}">
    <text>.363
.368
.388
(not sure of stating facts to explain the procedure or because they do match the case in question)</text>
  </threadedComment>
  <threadedComment ref="AC5" dT="2023-11-13T13:52:16.20" personId="{93238EA4-A97E-43A0-A9D2-13620007081D}" id="{FCA31237-0129-460F-95BE-17CD3E4FAE43}">
    <text>.379
.380
.507</text>
  </threadedComment>
  <threadedComment ref="AD5" dT="2023-11-13T13:52:23.11" personId="{93238EA4-A97E-43A0-A9D2-13620007081D}" id="{3B6F62CD-8C36-4DB7-B988-00F5708CFFF8}">
    <text>.380
.507
Too close to the hearing (not first offer, 2017 one)</text>
  </threadedComment>
  <threadedComment ref="AE5" dT="2023-11-22T01:15:57.65" personId="{93238EA4-A97E-43A0-A9D2-13620007081D}" id="{812F0DB0-E05C-4307-820F-B4B476F4D206}">
    <text>.380</text>
  </threadedComment>
  <threadedComment ref="AE5" dT="2023-11-29T15:32:06.50" personId="{93238EA4-A97E-43A0-A9D2-13620007081D}" id="{39E2A95F-4ACC-4924-A141-DD8DD04D6EFA}" parentId="{812F0DB0-E05C-4307-820F-B4B476F4D206}">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W6" dT="2023-11-13T15:18:57.72" personId="{93238EA4-A97E-43A0-A9D2-13620007081D}" id="{03408F56-DCA7-474D-9890-A81344099983}">
    <text>.24</text>
  </threadedComment>
  <threadedComment ref="Y6" dT="2023-11-13T15:20:47.96" personId="{93238EA4-A97E-43A0-A9D2-13620007081D}" id="{14EECA60-1568-4BEE-9B81-52C91F651007}">
    <text>.341
.347</text>
  </threadedComment>
  <threadedComment ref="Z6" dT="2023-11-10T16:39:57.82" personId="{93238EA4-A97E-43A0-A9D2-13620007081D}" id="{030E568B-0477-4849-99AD-701B3409CA6B}">
    <text>.412
.525-.526
v (no)
.351</text>
  </threadedComment>
  <threadedComment ref="Z6" dT="2023-12-15T12:24:35.96" personId="{93238EA4-A97E-43A0-A9D2-13620007081D}" id="{A52F0D77-BFCD-400A-AB96-F2AB0A1AEC53}" parentId="{030E568B-0477-4849-99AD-701B3409CA6B}">
    <text>Used to be Yes?</text>
  </threadedComment>
  <threadedComment ref="AA6" dT="2023-11-13T13:49:06.12" personId="{93238EA4-A97E-43A0-A9D2-13620007081D}" id="{4DFA10F8-FFAF-40E8-AEAD-6A4A435A3AC0}">
    <text>.24
.355</text>
  </threadedComment>
  <threadedComment ref="AB6" dT="2023-11-10T12:37:12.16" personId="{93238EA4-A97E-43A0-A9D2-13620007081D}" id="{40293D9B-C217-45CB-A759-3741CA78C250}">
    <text>.363
.368
.388
(not sure of stating facts to explain the procedure or because they do match the case in question)</text>
  </threadedComment>
  <threadedComment ref="AC6" dT="2023-11-13T13:52:16.20" personId="{93238EA4-A97E-43A0-A9D2-13620007081D}" id="{AE1B4C6D-7DA6-43D8-85AD-CDAF7C9C46E8}">
    <text>.379
.380
.507</text>
  </threadedComment>
  <threadedComment ref="AD6" dT="2023-11-13T13:52:23.11" personId="{93238EA4-A97E-43A0-A9D2-13620007081D}" id="{F8B9546E-0ABB-4188-A044-8D933801575D}">
    <text>.380
.507
Too close to the hearing (not first offer, 2017 one)</text>
  </threadedComment>
  <threadedComment ref="AE6" dT="2023-11-22T01:15:57.65" personId="{93238EA4-A97E-43A0-A9D2-13620007081D}" id="{B9E1F801-C038-4F28-B919-33BB386C70D8}">
    <text>.380</text>
  </threadedComment>
  <threadedComment ref="AE6" dT="2023-11-29T15:32:06.50" personId="{93238EA4-A97E-43A0-A9D2-13620007081D}" id="{2546E53C-0CF9-4ADD-B474-9B7CDB701558}" parentId="{B9E1F801-C038-4F28-B919-33BB386C70D8}">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W7" dT="2023-11-13T17:49:30.80" personId="{93238EA4-A97E-43A0-A9D2-13620007081D}" id="{DB252D02-6A56-4621-8D64-06B565A4D57E}">
    <text>.27</text>
  </threadedComment>
  <threadedComment ref="Y7" dT="2023-11-13T17:56:16.96" personId="{93238EA4-A97E-43A0-A9D2-13620007081D}" id="{960A4AFE-1AB4-4DC6-8ADE-2516530F9C9B}">
    <text>.134</text>
  </threadedComment>
  <threadedComment ref="Z7" dT="2023-11-13T17:56:16.96" personId="{93238EA4-A97E-43A0-A9D2-13620007081D}" id="{F733FB17-9710-4888-BEE8-AD542F8DF91A}">
    <text>180</text>
  </threadedComment>
  <threadedComment ref="AA7" dT="2023-11-13T14:35:58.84" personId="{93238EA4-A97E-43A0-A9D2-13620007081D}" id="{49EBB7D2-AB62-4CEE-9C03-D8A3171CEA2C}">
    <text>.187
.60
But late, after filling the lawsuit (for damages, January 2016)</text>
  </threadedComment>
  <threadedComment ref="AB7" dT="2023-11-13T17:47:54.47" personId="{93238EA4-A97E-43A0-A9D2-13620007081D}" id="{243AB504-4E91-48DF-B7F5-661F93FF4C01}">
    <text>.197
.202</text>
  </threadedComment>
  <threadedComment ref="AC7" dT="2023-11-13T17:59:55.39" personId="{93238EA4-A97E-43A0-A9D2-13620007081D}" id="{DEEF59A0-8B3B-4ABD-8775-D25C530FA377}">
    <text>.212
.234
.261</text>
  </threadedComment>
  <threadedComment ref="AD7" dT="2023-11-13T13:52:23.11" personId="{93238EA4-A97E-43A0-A9D2-13620007081D}" id="{DEC2603D-A0DE-42D2-BC5A-2A8CBB7EE2D7}">
    <text>.60
No mention of the infringement before the lawsuit</text>
  </threadedComment>
  <threadedComment ref="AD7" dT="2023-11-13T19:45:08.76" personId="{93238EA4-A97E-43A0-A9D2-13620007081D}" id="{1EF87E7E-3735-42AE-AD7F-D95BF8847F7E}" parentId="{DEC2603D-A0DE-42D2-BC5A-2A8CBB7EE2D7}">
    <text>.227-.229</text>
  </threadedComment>
  <threadedComment ref="AD7" dT="2023-11-29T15:38:32.53" personId="{93238EA4-A97E-43A0-A9D2-13620007081D}" id="{28EA1C82-3FC5-4097-9397-06D4AC246B74}" parentId="{DEC2603D-A0DE-42D2-BC5A-2A8CBB7EE2D7}">
    <text>Yes if we take the 1° and 2° offers, the 3° is not clear in terms of timing.</text>
  </threadedComment>
  <threadedComment ref="AE7" dT="2023-11-13T18:05:30.05" personId="{93238EA4-A97E-43A0-A9D2-13620007081D}" id="{148B6DA7-75BB-40CA-86FE-2647624F9A24}">
    <text>.60
Problem with the one-off payment and the lack of per unite license.</text>
  </threadedComment>
  <threadedComment ref="AE7" dT="2023-11-13T19:22:34.64" personId="{93238EA4-A97E-43A0-A9D2-13620007081D}" id="{C41DE386-F3C0-444C-A9B6-DAAF6D4A964B}" parentId="{148B6DA7-75BB-40CA-86FE-2647624F9A24}">
    <text>.234
.261
.275
.277</text>
  </threadedComment>
  <threadedComment ref="S8" dT="2023-11-13T18:59:11.18" personId="{93238EA4-A97E-43A0-A9D2-13620007081D}" id="{44956432-A9AB-471E-8893-FC70F81C9DA2}">
    <text>.17</text>
  </threadedComment>
  <threadedComment ref="W8" dT="2023-11-13T18:59:38.74" personId="{93238EA4-A97E-43A0-A9D2-13620007081D}" id="{69ECBD18-BD0E-4058-B923-B815FDE951A3}">
    <text>.17</text>
  </threadedComment>
  <threadedComment ref="Y8" dT="2023-11-13T19:24:25.75" personId="{93238EA4-A97E-43A0-A9D2-13620007081D}" id="{4D7FB27D-FF9E-4A0B-BCA5-F7858A4A4891}">
    <text>.126</text>
  </threadedComment>
  <threadedComment ref="Z8" dT="2023-11-13T19:27:35.44" personId="{93238EA4-A97E-43A0-A9D2-13620007081D}" id="{AC747E91-32BF-438A-B0A5-52F5DC0EEB0A}">
    <text>.172</text>
  </threadedComment>
  <threadedComment ref="AA8" dT="2023-11-13T14:35:58.84" personId="{93238EA4-A97E-43A0-A9D2-13620007081D}" id="{260428E4-E23D-40B2-8FF1-C5136A23A65F}">
    <text>.179
.17
But late, after filling the lawsuit (for damages, January 2016)</text>
  </threadedComment>
  <threadedComment ref="AB8" dT="2023-11-13T19:29:38.68" personId="{93238EA4-A97E-43A0-A9D2-13620007081D}" id="{75D65F61-A5B2-430D-839E-BC16D2E1E28A}">
    <text>.189</text>
  </threadedComment>
  <threadedComment ref="AC8" dT="2023-11-13T19:32:55.83" personId="{93238EA4-A97E-43A0-A9D2-13620007081D}" id="{A1EB9518-D83A-47E4-8D9E-4633D922A90B}">
    <text>.203
.220
.225
.252
.266</text>
  </threadedComment>
  <threadedComment ref="AD8" dT="2023-11-13T19:48:14.26" personId="{93238EA4-A97E-43A0-A9D2-13620007081D}" id="{56D2B1A3-D2D5-45C1-A0F9-8F8612C3B8CD}">
    <text>.218-.220</text>
  </threadedComment>
  <threadedComment ref="AD8" dT="2023-11-29T15:39:47.04" personId="{93238EA4-A97E-43A0-A9D2-13620007081D}" id="{CDFC8A1C-E437-480E-B004-FF5D26CF715D}" parentId="{56D2B1A3-D2D5-45C1-A0F9-8F8612C3B8CD}">
    <text>Yes if we take the 1° and 2° offers, the 3° is not clear in terms of timing.</text>
  </threadedComment>
  <threadedComment ref="AE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W9" dT="2023-11-13T20:08:48.22" personId="{93238EA4-A97E-43A0-A9D2-13620007081D}" id="{2874E882-837E-4B1B-B2A0-BFAC526D7DFD}">
    <text>.61-.66</text>
  </threadedComment>
  <threadedComment ref="Y9" dT="2023-11-13T20:16:30.63" personId="{93238EA4-A97E-43A0-A9D2-13620007081D}" id="{E28910C6-A962-496F-97C2-E7F89365FB12}">
    <text>.283</text>
  </threadedComment>
  <threadedComment ref="Z9" dT="2023-11-13T20:19:35.33" personId="{93238EA4-A97E-43A0-A9D2-13620007081D}" id="{E7FE2167-966E-4AEE-B2C4-B48109B61499}">
    <text>.296</text>
  </threadedComment>
  <threadedComment ref="AA9" dT="2023-11-13T20:22:25.90" personId="{93238EA4-A97E-43A0-A9D2-13620007081D}" id="{C20BA7D8-E49F-4E1B-9CFA-C1130061E9EC}">
    <text>.314
.316
.328</text>
  </threadedComment>
  <threadedComment ref="AB9" dT="2023-11-13T20:25:28.35" personId="{93238EA4-A97E-43A0-A9D2-13620007081D}" id="{105A1EF1-EEF6-4094-AC34-32D28EBB6ECA}">
    <text>.346</text>
  </threadedComment>
  <threadedComment ref="AC9" dT="2023-11-13T21:19:59.98" personId="{93238EA4-A97E-43A0-A9D2-13620007081D}" id="{B0EB4E27-D21A-41BB-901D-D12FC1C8ABE4}">
    <text>.352</text>
  </threadedComment>
  <threadedComment ref="AD9" dT="2023-11-13T21:20:08.39" personId="{93238EA4-A97E-43A0-A9D2-13620007081D}" id="{3EB0BB67-9B6A-414C-81BE-F885E20FBFCB}">
    <text>.352
.354</text>
  </threadedComment>
  <threadedComment ref="AE9" dT="2023-11-13T21:20:13.44" personId="{93238EA4-A97E-43A0-A9D2-13620007081D}" id="{50B61ECB-69F7-42D3-A7D8-C70B6FF311A0}">
    <text>.352
.389</text>
  </threadedComment>
  <threadedComment ref="AF9" dT="2023-11-12T19:27:45.05" personId="{93238EA4-A97E-43A0-A9D2-13620007081D}" id="{573C5950-2F10-491A-B2FF-C9EE74287A53}">
    <text>.58-.59
.77</text>
  </threadedComment>
  <threadedComment ref="AG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8F109CA9-A73F-4D44-9853-7DF42497C09B}">
    <text>.66</text>
  </threadedComment>
  <threadedComment ref="S10" dT="2023-11-14T12:15:40.56" personId="{93238EA4-A97E-43A0-A9D2-13620007081D}" id="{7C742187-B16F-46C1-B8FF-33A561DD7484}" parentId="{8F109CA9-A73F-4D44-9853-7DF42497C09B}">
    <text>Mention of previous contacts in 2008-2009.</text>
  </threadedComment>
  <threadedComment ref="V10" dT="2023-11-14T12:15:03.78" personId="{93238EA4-A97E-43A0-A9D2-13620007081D}" id="{458CCA5A-8A40-4514-B23F-802C0D07DF7C}">
    <text>.66</text>
  </threadedComment>
  <threadedComment ref="V10" dT="2023-11-14T12:15:40.56" personId="{93238EA4-A97E-43A0-A9D2-13620007081D}" id="{DA81EC2B-E712-465D-9ED7-347A45616C6B}" parentId="{458CCA5A-8A40-4514-B23F-802C0D07DF7C}">
    <text>Mention of previous contacts in 2008-2009.</text>
  </threadedComment>
  <threadedComment ref="W10" dT="2023-11-14T12:15:03.78" personId="{93238EA4-A97E-43A0-A9D2-13620007081D}" id="{458CCA5A-8A40-4513-B23F-802C0D07DF7C}">
    <text>.66</text>
  </threadedComment>
  <threadedComment ref="W10" dT="2023-11-14T12:15:40.56" personId="{93238EA4-A97E-43A0-A9D2-13620007081D}" id="{DA81EC2B-E712-465C-9ED7-347A45616C6B}" parentId="{458CCA5A-8A40-4513-B23F-802C0D07DF7C}">
    <text>Mention of previous contacts in 2008-2009.</text>
  </threadedComment>
  <threadedComment ref="Y10" dT="2023-11-14T12:17:41.61" personId="{93238EA4-A97E-43A0-A9D2-13620007081D}" id="{C5576B95-FB4A-46B9-A90B-42D5350622B5}">
    <text>.229</text>
  </threadedComment>
  <threadedComment ref="Z10" dT="2023-11-14T12:18:23.78" personId="{93238EA4-A97E-43A0-A9D2-13620007081D}" id="{32EF9CD7-BA2B-483C-BB0C-A46C079D3CEF}">
    <text>.239</text>
  </threadedComment>
  <threadedComment ref="AA10" dT="2023-11-14T12:22:08.59" personId="{93238EA4-A97E-43A0-A9D2-13620007081D}" id="{2D5667F1-0566-448B-9EFA-89E7C1AB570F}">
    <text>.255
.257</text>
  </threadedComment>
  <threadedComment ref="AB10" dT="2023-11-14T12:23:18.86" personId="{93238EA4-A97E-43A0-A9D2-13620007081D}" id="{F4605D22-990D-4459-AC64-EA33DFCE2B33}">
    <text>.300</text>
  </threadedComment>
  <threadedComment ref="AC10" dT="2023-11-14T12:25:19.30" personId="{93238EA4-A97E-43A0-A9D2-13620007081D}" id="{99C678DB-11A8-48A2-ADAA-7A51963FA428}">
    <text>.310</text>
  </threadedComment>
  <threadedComment ref="AD10" dT="2023-11-14T12:25:19.30" personId="{93238EA4-A97E-43A0-A9D2-13620007081D}" id="{A569A70E-5132-4D1C-8E2C-BCD69901996D}">
    <text>.310
.312
.314</text>
  </threadedComment>
  <threadedComment ref="AE10" dT="2023-11-14T12:25:19.30" personId="{93238EA4-A97E-43A0-A9D2-13620007081D}" id="{B9211CE3-9786-4DB4-AF30-2F4B436DF855}">
    <text>.310
.330</text>
  </threadedComment>
  <threadedComment ref="AF10" dT="2023-11-12T19:33:47.62" personId="{93238EA4-A97E-43A0-A9D2-13620007081D}" id="{1CC0472A-E895-4228-937F-B0E6895ED123}">
    <text>.24-25
.337</text>
  </threadedComment>
  <threadedComment ref="AG10" dT="2023-11-12T19:34:49.45" personId="{93238EA4-A97E-43A0-A9D2-13620007081D}" id="{57892AA3-FDEB-4730-9DA5-61DC02DBFE3C}">
    <text>.25
.30
.72
.82</text>
  </threadedComment>
  <threadedComment ref="AS10" dT="2023-12-27T21:50:49.84" personId="{93238EA4-A97E-43A0-A9D2-13620007081D}" id="{BD4BF902-3B15-4F98-B336-684F10E9EEF8}">
    <text>Darts</text>
  </threadedComment>
  <threadedComment ref="S11" dT="2023-11-14T12:38:27.33" personId="{93238EA4-A97E-43A0-A9D2-13620007081D}" id="{14B9FB9F-507E-4335-AEB7-E016568814AF}">
    <text>.39
.339</text>
  </threadedComment>
  <threadedComment ref="W11" dT="2023-11-14T12:38:27.33" personId="{93238EA4-A97E-43A0-A9D2-13620007081D}" id="{9138FA53-0D99-4E3F-A2F6-E2B056E8BD15}">
    <text>.39
.339</text>
  </threadedComment>
  <threadedComment ref="Y11" dT="2023-11-14T12:36:02.40" personId="{93238EA4-A97E-43A0-A9D2-13620007081D}" id="{652BDA78-2EC6-4AD4-9B64-392CF78A0D04}">
    <text>.307</text>
  </threadedComment>
  <threadedComment ref="Z11" dT="2023-11-14T12:36:24.63" personId="{93238EA4-A97E-43A0-A9D2-13620007081D}" id="{2A3911DA-BA6D-4797-B2CC-6E6A04EF9ED3}">
    <text>.321</text>
  </threadedComment>
  <threadedComment ref="AA11" dT="2023-11-14T12:39:18.55" personId="{93238EA4-A97E-43A0-A9D2-13620007081D}" id="{66F1C17D-8C5F-43A6-80D9-F95B914FE8BD}">
    <text>.339
.341</text>
  </threadedComment>
  <threadedComment ref="AB11" dT="2023-11-14T12:44:23.38" personId="{93238EA4-A97E-43A0-A9D2-13620007081D}" id="{2003293A-5D9D-4584-86F0-3D81A4438A89}">
    <text>.398</text>
  </threadedComment>
  <threadedComment ref="AC11" dT="2023-11-14T12:45:19.04" personId="{93238EA4-A97E-43A0-A9D2-13620007081D}" id="{5CD7767F-5E3F-4243-98E0-A0F3FF28E7E1}">
    <text>.405</text>
  </threadedComment>
  <threadedComment ref="AD11" dT="2023-11-14T12:45:19.04" personId="{93238EA4-A97E-43A0-A9D2-13620007081D}" id="{2A36B220-42A5-4B93-9692-2D5EF426F4D0}">
    <text>.405
.407
.409</text>
  </threadedComment>
  <threadedComment ref="AE11" dT="2023-11-14T12:45:19.04" personId="{93238EA4-A97E-43A0-A9D2-13620007081D}" id="{F490BE34-E22B-410B-8612-A91490F9A111}">
    <text>.405
.429</text>
  </threadedComment>
  <threadedComment ref="AF11" dT="2023-11-12T19:40:57.49" personId="{93238EA4-A97E-43A0-A9D2-13620007081D}" id="{456CF1BF-27B3-4CAE-9FFD-AD72CC413060}">
    <text>.36</text>
  </threadedComment>
  <threadedComment ref="AG11" dT="2023-11-12T19:38:20.83" personId="{93238EA4-A97E-43A0-A9D2-13620007081D}" id="{D77B8BBA-756E-488C-93FB-C91A3BAE99DE}">
    <text>.54
.124
.361</text>
  </threadedComment>
  <threadedComment ref="AS11" dT="2023-12-27T21:50:53.98" personId="{93238EA4-A97E-43A0-A9D2-13620007081D}" id="{02285F79-8C4E-462D-B109-48FD2897F386}">
    <text>Darts</text>
  </threadedComment>
  <threadedComment ref="S12" dT="2023-11-14T13:09:11.98" personId="{93238EA4-A97E-43A0-A9D2-13620007081D}" id="{80DD5EC9-385A-4DE2-8CFA-877ACF33A4B2}">
    <text>.211</text>
  </threadedComment>
  <threadedComment ref="W12" dT="2023-11-14T13:09:41.54" personId="{93238EA4-A97E-43A0-A9D2-13620007081D}" id="{95BE14B0-7503-4098-BA39-71FE63FE1207}">
    <text>.211
Patent in suit, in 06.10.2015 other 7 patents have been mentioned.</text>
  </threadedComment>
  <threadedComment ref="Y12" dT="2023-11-14T13:01:43.22" personId="{93238EA4-A97E-43A0-A9D2-13620007081D}" id="{679FA712-0146-4E13-8641-2F8F1A011A69}">
    <text>.142</text>
  </threadedComment>
  <threadedComment ref="Z12" dT="2023-11-14T13:02:59.86" personId="{93238EA4-A97E-43A0-A9D2-13620007081D}" id="{E57D2E1E-669E-4108-A7F7-7B86E181E865}">
    <text>.188</text>
  </threadedComment>
  <threadedComment ref="Z12" dT="2023-12-15T12:24:52.20" personId="{93238EA4-A97E-43A0-A9D2-13620007081D}" id="{D1B30CCD-AD62-4DFF-A878-0A42772719DC}" parentId="{E57D2E1E-669E-4108-A7F7-7B86E181E865}">
    <text>Used to be Yes?</text>
  </threadedComment>
  <threadedComment ref="AA12" dT="2023-11-14T13:07:47.13" personId="{93238EA4-A97E-43A0-A9D2-13620007081D}" id="{C7B009AF-D30C-487B-9EA2-6A94B48CAEF2}">
    <text>.211</text>
  </threadedComment>
  <threadedComment ref="AB12" dT="2023-11-14T13:04:41.52" personId="{93238EA4-A97E-43A0-A9D2-13620007081D}" id="{2DC6096D-F550-4FF4-8077-746F5C34DAD4}">
    <text>.205
.210</text>
  </threadedComment>
  <threadedComment ref="AC12" dT="2023-11-14T13:05:24.75" personId="{93238EA4-A97E-43A0-A9D2-13620007081D}" id="{46E52BEA-6585-43C5-8219-2433D3F336A6}">
    <text>.220
.269</text>
  </threadedComment>
  <threadedComment ref="AD12" dT="2023-11-14T13:13:19.20" personId="{93238EA4-A97E-43A0-A9D2-13620007081D}" id="{B3471C83-0B98-4490-A0C6-13C30A9D7054}">
    <text>.235-.237</text>
  </threadedComment>
  <threadedComment ref="AD12" dT="2023-11-29T15:43:33.72" personId="{93238EA4-A97E-43A0-A9D2-13620007081D}" id="{142EFE1C-DC0E-442D-B8CC-077703A4C98D}" parentId="{B3471C83-0B98-4490-A0C6-13C30A9D7054}">
    <text>Yes if we take the 1° and 2° offers, the 3° is not clear in terms of timing.</text>
  </threadedComment>
  <threadedComment ref="AE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W13" dT="2023-11-14T13:41:19.19" personId="{93238EA4-A97E-43A0-A9D2-13620007081D}" id="{68F1A096-FB48-4540-8EB7-EE23F006E619}">
    <text>.96</text>
  </threadedComment>
  <threadedComment ref="Y13" dT="2023-11-14T13:42:29.17" personId="{93238EA4-A97E-43A0-A9D2-13620007081D}" id="{F8C5E988-6610-4EFC-A032-F3B269FF5BC5}">
    <text>.227</text>
  </threadedComment>
  <threadedComment ref="Z13" dT="2023-11-14T13:42:56.52" personId="{93238EA4-A97E-43A0-A9D2-13620007081D}" id="{F70D2C06-E011-4631-ADE7-B8CA3FB8F229}">
    <text>.237</text>
  </threadedComment>
  <threadedComment ref="AA13" dT="2023-11-14T13:45:27.74" personId="{93238EA4-A97E-43A0-A9D2-13620007081D}" id="{55385772-3D73-4046-BC54-86361972A274}">
    <text>.253
.255
.258</text>
  </threadedComment>
  <threadedComment ref="AB13" dT="2023-11-14T13:45:27.74" personId="{93238EA4-A97E-43A0-A9D2-13620007081D}" id="{740B158C-5415-42F9-9A7D-42F54B1397D5}">
    <text>.253
.298</text>
  </threadedComment>
  <threadedComment ref="AC13" dT="2023-11-14T13:48:39.68" personId="{93238EA4-A97E-43A0-A9D2-13620007081D}" id="{A95BB7CE-E09A-4C3D-89AB-0769D461C0BD}">
    <text>.308</text>
  </threadedComment>
  <threadedComment ref="AD13" dT="2023-11-14T13:50:20.09" personId="{93238EA4-A97E-43A0-A9D2-13620007081D}" id="{1DB01CCF-AE95-4AB3-BF47-913A232A3BD7}">
    <text>.308
.310
.312</text>
  </threadedComment>
  <threadedComment ref="AE13" dT="2023-11-14T13:51:31.73" personId="{93238EA4-A97E-43A0-A9D2-13620007081D}" id="{D8C99A50-5FDB-4925-8FEE-039F3A5B39A1}">
    <text>.308
.328</text>
  </threadedComment>
  <threadedComment ref="AF13" dT="2023-11-12T19:41:31.97" personId="{93238EA4-A97E-43A0-A9D2-13620007081D}" id="{66C3080C-A5C6-44C1-8C07-981EBCDB6115}">
    <text>.54-.55</text>
  </threadedComment>
  <threadedComment ref="AG13" dT="2023-11-12T19:44:32.77" personId="{93238EA4-A97E-43A0-A9D2-13620007081D}" id="{523A47A7-9A1D-4B6A-B8C6-217DB7A7CCBB}">
    <text>.55
.60
.102</text>
  </threadedComment>
  <threadedComment ref="AS13" dT="2023-12-27T21:50:59.48" personId="{93238EA4-A97E-43A0-A9D2-13620007081D}" id="{AC2B570A-15AB-43B5-AD1D-554728708421}">
    <text>Darts</text>
  </threadedComment>
  <threadedComment ref="S14" dT="2023-11-14T15:43:13.17" personId="{93238EA4-A97E-43A0-A9D2-13620007081D}" id="{691A1B6F-FA88-4FD1-ADBD-B393A92BC9EA}">
    <text>.40
.214
11.07.2018
.759
Mention of a prior infringement notification in 2016</text>
  </threadedComment>
  <threadedComment ref="W14" dT="2023-11-14T15:43:13.17" personId="{93238EA4-A97E-43A0-A9D2-13620007081D}" id="{BB512E5E-D1FE-423D-8631-99DF600A5497}">
    <text>.40
.214
.759
Mention of a prior infringement notification in 2016</text>
  </threadedComment>
  <threadedComment ref="Y14" dT="2023-11-14T16:04:50.90" personId="{93238EA4-A97E-43A0-A9D2-13620007081D}" id="{1AE5DBD9-176F-472D-A58B-A2AF3EDDD55F}">
    <text>.189</text>
  </threadedComment>
  <threadedComment ref="Z14" dT="2023-11-14T16:05:23.32" personId="{93238EA4-A97E-43A0-A9D2-13620007081D}" id="{D892EFA6-909A-4EA1-BA9A-B585B074222B}">
    <text>.187
.199</text>
  </threadedComment>
  <threadedComment ref="AA14" dT="2023-11-14T15:50:07.51" personId="{93238EA4-A97E-43A0-A9D2-13620007081D}" id="{B77E86EE-3E7D-46FF-88DE-01EE7D311119}">
    <text xml:space="preserve">.206
.209
.213
.758
</text>
  </threadedComment>
  <threadedComment ref="AB14" dT="2023-11-14T15:50:21.99" personId="{93238EA4-A97E-43A0-A9D2-13620007081D}" id="{BAB8D0D4-EE33-46E7-A0A7-991C476FC3CB}">
    <text>.236
.762-.763
v
.751
.760</text>
  </threadedComment>
  <threadedComment ref="AC14" dT="2023-11-14T15:55:00.42" personId="{93238EA4-A97E-43A0-A9D2-13620007081D}" id="{39B49277-791B-4CE3-969E-48DDD7B8F5A8}">
    <text>.240-.241
.244
.264
.268
.270
.280
.306
.314
.319
.325</text>
  </threadedComment>
  <threadedComment ref="AD14" dT="2023-11-14T16:31:53.79" personId="{93238EA4-A97E-43A0-A9D2-13620007081D}" id="{2D5903F3-791C-4366-9C7A-4803D6F372F1}">
    <text>.241
.759</text>
  </threadedComment>
  <threadedComment ref="AE14" dT="2023-11-14T15:55:00.42" personId="{93238EA4-A97E-43A0-A9D2-13620007081D}" id="{94EEB219-E45B-48B7-B1B0-A2F1FFF2CF4B}">
    <text>.264
.268
.270
.280
.306
.314
.319
.325</text>
  </threadedComment>
  <threadedComment ref="AF14" dT="2023-11-14T15:40:11.79" personId="{93238EA4-A97E-43A0-A9D2-13620007081D}" id="{727633F1-BECC-458B-90DB-67F0D59EFBB2}">
    <text>.20-.21</text>
  </threadedComment>
  <threadedComment ref="AG14" dT="2023-11-14T15:41:20.93" personId="{93238EA4-A97E-43A0-A9D2-13620007081D}" id="{C405E714-911F-4686-9442-1886150507E2}">
    <text>.25</text>
  </threadedComment>
  <threadedComment ref="AS14" dT="2023-11-29T14:54:02.24" personId="{93238EA4-A97E-43A0-A9D2-13620007081D}" id="{B1F16176-EEE7-44ED-BA26-8EC581D8F9C3}">
    <text>Darts</text>
  </threadedComment>
  <threadedComment ref="AS14" dT="2023-11-29T14:54:37.64" personId="{93238EA4-A97E-43A0-A9D2-13620007081D}" id="{B4A66E80-9A5C-4BCD-B0B0-49B5267972F5}" parentId="{B1F16176-EEE7-44ED-BA26-8EC581D8F9C3}">
    <text>Could be an old one, in Darts there is also a mention of 28.01.2021</text>
  </threadedComment>
  <threadedComment ref="S15" dT="2023-11-14T17:03:37.74" personId="{93238EA4-A97E-43A0-A9D2-13620007081D}" id="{3527BCF0-C7CF-4F36-A4F1-C308C8B701E2}">
    <text>.93
.286
03.09.2018
.283
.299
.729
Mention of a prior infringement notification in 2016</text>
  </threadedComment>
  <threadedComment ref="W15" dT="2023-11-14T17:03:37.74" personId="{93238EA4-A97E-43A0-A9D2-13620007081D}" id="{185A59BE-E584-4582-8716-34A0A928F4DD}">
    <text>.93
.286
.729
Mention of a prior infringement notification in 2016</text>
  </threadedComment>
  <threadedComment ref="Y15" dT="2023-11-14T17:05:15.91" personId="{93238EA4-A97E-43A0-A9D2-13620007081D}" id="{1B4F4FF7-7D19-4974-BF73-651178D1395C}">
    <text>.261</text>
  </threadedComment>
  <threadedComment ref="Z15" dT="2023-11-14T17:05:01.44" personId="{93238EA4-A97E-43A0-A9D2-13620007081D}" id="{8E69EA43-EE77-41D4-BD95-E9238445985F}">
    <text>.259
.271</text>
  </threadedComment>
  <threadedComment ref="AA15" dT="2023-11-14T17:06:56.60" personId="{93238EA4-A97E-43A0-A9D2-13620007081D}" id="{B032F41A-5E1C-4213-96C7-BF9328181352}">
    <text>.278
.280
.285</text>
  </threadedComment>
  <threadedComment ref="AB15" dT="2023-11-14T17:12:26.49" personId="{93238EA4-A97E-43A0-A9D2-13620007081D}" id="{664687A0-DB82-4AF5-8153-C7606A681006}">
    <text>.308</text>
  </threadedComment>
  <threadedComment ref="AC15" dT="2023-11-14T17:13:57.00" personId="{93238EA4-A97E-43A0-A9D2-13620007081D}" id="{18156598-DA80-4B94-927C-F76D65D08C34}">
    <text>.312-.313
.316
.334
.336
.340
.350
.352
.378
.386
.391
.397</text>
  </threadedComment>
  <threadedComment ref="AD15" dT="2023-11-14T17:21:31.24" personId="{93238EA4-A97E-43A0-A9D2-13620007081D}" id="{39AE3E06-C470-474A-B0E0-F70CDA7D6AF2}">
    <text>.313
.729</text>
  </threadedComment>
  <threadedComment ref="AE15" dT="2023-11-14T17:13:57.00" personId="{93238EA4-A97E-43A0-A9D2-13620007081D}" id="{308A59EA-5608-4FAD-B349-CB840292CC82}">
    <text>.334
.336
.340
.350
.352
.378
.386
.391
.397</text>
  </threadedComment>
  <threadedComment ref="AF15" dT="2023-11-14T17:28:05.43" personId="{93238EA4-A97E-43A0-A9D2-13620007081D}" id="{BC32D8AC-7D3C-4E99-8839-F048B5D1FE7D}">
    <text>.17-.18</text>
  </threadedComment>
  <threadedComment ref="AG15" dT="2023-11-14T17:28:21.30" personId="{93238EA4-A97E-43A0-A9D2-13620007081D}" id="{FE01621A-4E16-4131-92F3-B77F31FE5D4D}">
    <text>.22</text>
  </threadedComment>
  <threadedComment ref="AS15" dT="2023-11-29T14:55:40.11" personId="{93238EA4-A97E-43A0-A9D2-13620007081D}" id="{4980AA7A-AFBA-466B-B56B-CEF1FBF31C03}">
    <text>Darts</text>
  </threadedComment>
  <threadedComment ref="AS15" dT="2023-11-29T14:56:18.84" personId="{93238EA4-A97E-43A0-A9D2-13620007081D}" id="{B5EC639D-1F1B-4BC1-AA68-DBF931C149F5}" parentId="{4980AA7A-AFBA-466B-B56B-CEF1FBF31C03}">
    <text>Could be an old one, in Darts there is also a mention of 28.01.2021</text>
  </threadedComment>
  <threadedComment ref="S16" dT="2023-11-14T18:31:22.32" personId="{93238EA4-A97E-43A0-A9D2-13620007081D}" id="{3F009848-342E-43D1-B7AC-4EA920CDE45C}">
    <text>.98
.328
20.11.2018
.325
.341
.579
Mention of a prior infringement notification in 2016</text>
  </threadedComment>
  <threadedComment ref="W16" dT="2023-11-14T18:31:22.32" personId="{93238EA4-A97E-43A0-A9D2-13620007081D}" id="{E1CCDFAA-33C1-4582-82D9-8A69C00030F5}">
    <text>.354
.98
.328
20.11.2018
.579
Mention of a prior infringement notification in 2016</text>
  </threadedComment>
  <threadedComment ref="Y16" dT="2023-11-14T18:42:19.40" personId="{93238EA4-A97E-43A0-A9D2-13620007081D}" id="{CA62744D-382D-46F5-987C-B23DDA77016B}">
    <text>.303</text>
  </threadedComment>
  <threadedComment ref="Z16" dT="2023-11-14T18:41:58.55" personId="{93238EA4-A97E-43A0-A9D2-13620007081D}" id="{8FED05BD-F7FB-47AD-80DE-82F2470A042B}">
    <text>.301</text>
  </threadedComment>
  <threadedComment ref="AA16" dT="2023-11-14T18:42:58.40" personId="{93238EA4-A97E-43A0-A9D2-13620007081D}" id="{B4C4C990-B26A-4ECC-8076-8D9ABC8206AD}">
    <text>.320
.322
.327</text>
  </threadedComment>
  <threadedComment ref="AB16" dT="2023-11-14T18:45:11.09" personId="{93238EA4-A97E-43A0-A9D2-13620007081D}" id="{BB8D7B27-8DAA-411C-86A9-D053F02A1E64}">
    <text>.350</text>
  </threadedComment>
  <threadedComment ref="AC16" dT="2023-11-14T19:01:32.43" personId="{93238EA4-A97E-43A0-A9D2-13620007081D}" id="{18A9A681-E061-408F-BA0C-576FE14086A8}">
    <text>.354-.355
.358
.376
.378
.382
.392
.394
.420
.428
.433
.439</text>
  </threadedComment>
  <threadedComment ref="AD16" dT="2023-11-14T19:02:46.63" personId="{93238EA4-A97E-43A0-A9D2-13620007081D}" id="{7AFD2C74-985C-45EF-BC01-89C9A6EF9BB4}">
    <text>.355
.579</text>
  </threadedComment>
  <threadedComment ref="AE16" dT="2023-11-14T19:01:53.33" personId="{93238EA4-A97E-43A0-A9D2-13620007081D}" id="{B27EA21D-005E-489D-918C-18C37841A300}">
    <text>.376
.378
.382
.392
.394
.420
.428
.433
.439</text>
  </threadedComment>
  <threadedComment ref="AF16" dT="2023-11-14T18:45:49.22" personId="{93238EA4-A97E-43A0-A9D2-13620007081D}" id="{49DF1BA4-7F4C-4285-8947-2B8FB78006A5}">
    <text>.22-.23</text>
  </threadedComment>
  <threadedComment ref="AG16" dT="2023-11-14T18:46:10.10" personId="{93238EA4-A97E-43A0-A9D2-13620007081D}" id="{75B90ADD-5519-4BE2-A13B-C3BEB2DAB116}">
    <text>.27</text>
  </threadedComment>
  <threadedComment ref="AS16" dT="2023-12-27T21:51:04.61" personId="{93238EA4-A97E-43A0-A9D2-13620007081D}" id="{398DB35F-FB63-4C5F-8E37-463981410CAA}">
    <text>Darts</text>
  </threadedComment>
  <threadedComment ref="E17" dT="2023-10-10T09:21:19.54" personId="{93238EA4-A97E-43A0-A9D2-13620007081D}" id="{4985B4A8-6D6A-47A5-BECB-25374B5AAD91}">
    <text>Das Verfahren wird ausgesetzt.</text>
  </threadedComment>
  <threadedComment ref="E17" dT="2023-11-22T16:38:27.43" personId="{93238EA4-A97E-43A0-A9D2-13620007081D}" id="{38176BF0-DA4E-45FB-BF31-7B4E9B6428AA}" parentId="{4985B4A8-6D6A-47A5-BECB-25374B5AAD91}">
    <text>{referred to CJEU, settled before decision}
Justus</text>
  </threadedComment>
  <threadedComment ref="S17" dT="2023-11-15T11:45:39.42" personId="{93238EA4-A97E-43A0-A9D2-13620007081D}" id="{E7DFCAEE-04AF-4B50-8990-1410C0BA0D4F}">
    <text>It only says March 2016
.8</text>
  </threadedComment>
  <threadedComment ref="W17" dT="2023-11-15T11:46:40.75" personId="{93238EA4-A97E-43A0-A9D2-13620007081D}" id="{E1BE09B1-AC1C-4953-AEB2-19EFF1E9C5BA}">
    <text>.8</text>
  </threadedComment>
  <threadedComment ref="AA17" dT="2023-11-15T12:00:36.64" personId="{93238EA4-A97E-43A0-A9D2-13620007081D}" id="{B8BE2593-076F-4172-AA7F-401D29A9826F}">
    <text>.8</text>
  </threadedComment>
  <threadedComment ref="AB17" dT="2023-11-15T12:00:41.35" personId="{93238EA4-A97E-43A0-A9D2-13620007081D}" id="{248C2095-7B90-4E38-B465-584096FF90F9}">
    <text>.8</text>
  </threadedComment>
  <threadedComment ref="AF17" dT="2023-11-15T12:01:56.55" personId="{93238EA4-A97E-43A0-A9D2-13620007081D}" id="{003941D1-422C-4766-8B64-D8DFCE45BB18}">
    <text>.35</text>
  </threadedComment>
  <threadedComment ref="AF17" dT="2023-12-15T12:35:54.32" personId="{93238EA4-A97E-43A0-A9D2-13620007081D}" id="{96D2AF47-B117-4833-A1B6-D0B303042286}" parentId="{003941D1-422C-4766-8B64-D8DFCE45BB18}">
    <text>Used to be Yes?</text>
  </threadedComment>
  <threadedComment ref="AP17" dT="2023-11-27T14:20:38.51" personId="{93238EA4-A97E-43A0-A9D2-13620007081D}" id="{61E83C3E-6605-46D7-8ECC-B7D26659021B}">
    <text>They specify some claims (1, 2, 4, 6 &amp; 9)</text>
  </threadedComment>
  <threadedComment ref="AS17" dT="2023-11-29T15:10:26.99" personId="{93238EA4-A97E-43A0-A9D2-13620007081D}" id="{318E850A-2CD0-422A-A8AD-23F22B3964E7}">
    <text>In Darts they mention
22.10.2019</text>
  </threadedComment>
  <threadedComment ref="S18" dT="2023-11-22T13:01:49.88" personId="{93238EA4-A97E-43A0-A9D2-13620007081D}" id="{469C2275-CB2C-4AF7-981E-43CD62EE276E}">
    <text>.11</text>
  </threadedComment>
  <threadedComment ref="W18" dT="2023-11-22T13:01:49.88" personId="{93238EA4-A97E-43A0-A9D2-13620007081D}" id="{45C36D6E-CD9B-450B-B594-1612A6491724}">
    <text>.11</text>
  </threadedComment>
  <threadedComment ref="W18" dT="2023-11-22T13:19:27.43" personId="{93238EA4-A97E-43A0-A9D2-13620007081D}" id="{94B65EDA-0F42-4F95-94A5-B64AF05B0410}" parentId="{45C36D6E-CD9B-450B-B594-1612A6491724}">
    <text xml:space="preserve">.131
13.04.2015 </text>
  </threadedComment>
  <threadedComment ref="Y18" dT="2023-11-22T13:07:34.86" personId="{93238EA4-A97E-43A0-A9D2-13620007081D}" id="{1DF50F32-BB75-4406-8517-33F069F27AE3}">
    <text>.69</text>
  </threadedComment>
  <threadedComment ref="Z18" dT="2023-11-22T13:17:09.11" personId="{93238EA4-A97E-43A0-A9D2-13620007081D}" id="{98B68EEF-1345-4D6A-97FB-CC3448CC4156}">
    <text>.69</text>
  </threadedComment>
  <threadedComment ref="AA18" dT="2023-11-22T13:07:34.86" personId="{93238EA4-A97E-43A0-A9D2-13620007081D}" id="{A2A4C727-1A69-40B7-895D-ABDDC0B20FD3}">
    <text>.69</text>
  </threadedComment>
  <threadedComment ref="AB18" dT="2023-11-22T13:19:03.30" personId="{93238EA4-A97E-43A0-A9D2-13620007081D}" id="{360CAA70-AB88-44E2-9C0C-8BE52C25AFF8}">
    <text>.100
.130
.142</text>
  </threadedComment>
  <threadedComment ref="AC18" dT="2023-11-22T13:07:34.86" personId="{93238EA4-A97E-43A0-A9D2-13620007081D}" id="{2D007222-672C-4305-BC16-CE894702B666}">
    <text>.69</text>
  </threadedComment>
  <threadedComment ref="AC18" dT="2023-12-15T12:29:27.32" personId="{93238EA4-A97E-43A0-A9D2-13620007081D}" id="{B596BD2B-6B5C-41CA-B2C1-9BC548D155ED}" parentId="{2D007222-672C-4305-BC16-CE894702B666}">
    <text>Used to be Yes?</text>
  </threadedComment>
  <threadedComment ref="AD18" dT="2023-11-22T13:07:34.86" personId="{93238EA4-A97E-43A0-A9D2-13620007081D}" id="{40364362-F582-4B85-82DD-A2063CA474DF}">
    <text>.69</text>
  </threadedComment>
  <threadedComment ref="AD18" dT="2023-12-15T12:29:32.51" personId="{93238EA4-A97E-43A0-A9D2-13620007081D}" id="{F0B1752C-2B15-4849-A661-846A0243ECF2}" parentId="{40364362-F582-4B85-82DD-A2063CA474DF}">
    <text>Used to be Yes?</text>
  </threadedComment>
  <threadedComment ref="AE18" dT="2023-11-22T13:07:34.86" personId="{93238EA4-A97E-43A0-A9D2-13620007081D}" id="{A5D13F9D-D46D-45C8-9D27-2A0DC855B2C9}">
    <text>.69</text>
  </threadedComment>
  <threadedComment ref="AE18" dT="2023-12-15T12:29:37.48" personId="{93238EA4-A97E-43A0-A9D2-13620007081D}" id="{C01CBC1F-0678-4F29-AB46-D7F12E20124E}" parentId="{A5D13F9D-D46D-45C8-9D27-2A0DC855B2C9}">
    <text>Used to be Yes?</text>
  </threadedComment>
  <threadedComment ref="AF18" dT="2023-11-22T12:57:20.29" personId="{93238EA4-A97E-43A0-A9D2-13620007081D}" id="{C89AEDBD-7470-42E8-8556-94E00FCBEC27}">
    <text>.8</text>
  </threadedComment>
  <threadedComment ref="AG18" dT="2023-11-22T12:57:20.29" personId="{93238EA4-A97E-43A0-A9D2-13620007081D}" id="{1D457255-F775-4FB1-B5D1-4EAC03900033}">
    <text>.8</text>
  </threadedComment>
  <threadedComment ref="AS18" dT="2023-12-27T21:51:09.41" personId="{93238EA4-A97E-43A0-A9D2-13620007081D}" id="{204744DE-122F-460C-BC9C-869CF9463F66}">
    <text>Darts</text>
  </threadedComment>
  <threadedComment ref="O19" dT="2023-12-15T12:23:17.01" personId="{93238EA4-A97E-43A0-A9D2-13620007081D}" id="{19B0FC52-4C97-4501-B079-DB13F1255AA6}">
    <text>Used to be ?
Then 1?</text>
  </threadedComment>
  <threadedComment ref="S19" dT="2023-11-22T14:20:41.23" personId="{93238EA4-A97E-43A0-A9D2-13620007081D}" id="{1A2B185C-474E-4EE3-8C76-6EB5BDADF343}">
    <text>.16</text>
  </threadedComment>
  <threadedComment ref="W19" dT="2023-11-22T14:20:41.23" personId="{93238EA4-A97E-43A0-A9D2-13620007081D}" id="{84647485-0C7C-4EC9-A1AE-D05ADF8F035C}">
    <text>.16</text>
  </threadedComment>
  <threadedComment ref="Y19" dT="2023-11-22T14:28:22.78" personId="{93238EA4-A97E-43A0-A9D2-13620007081D}" id="{27E1081C-01C0-4FEA-BC23-A81A31EC3949}">
    <text>.52</text>
  </threadedComment>
  <threadedComment ref="Z19" dT="2023-11-22T14:28:29.46" personId="{93238EA4-A97E-43A0-A9D2-13620007081D}" id="{F68B5FA1-362A-4E54-A130-515D259B9711}">
    <text>.52</text>
  </threadedComment>
  <threadedComment ref="Z19" dT="2023-11-22T19:11:12.84" personId="{93238EA4-A97E-43A0-A9D2-13620007081D}" id="{6DDB911D-DC34-4F8F-9F1C-3421070295C4}" parentId="{F68B5FA1-362A-4E54-A130-515D259B9711}">
    <text>I would say NO, since even the existence of the Dominant position was not proven (nor denied), but you first need to have a dominant position to be able to then abuse it.</text>
  </threadedComment>
  <threadedComment ref="Z19" dT="2023-12-15T12:25:16.13" personId="{93238EA4-A97E-43A0-A9D2-13620007081D}" id="{89607F55-4190-4B67-9364-F434CF766C34}" parentId="{F68B5FA1-362A-4E54-A130-515D259B9711}">
    <text>Used to be No?</text>
  </threadedComment>
  <threadedComment ref="AA19" dT="2023-11-22T14:24:06.18" personId="{93238EA4-A97E-43A0-A9D2-13620007081D}" id="{2EC79503-17B2-4512-93E8-B465D93D0D0F}">
    <text>.16
.52</text>
  </threadedComment>
  <threadedComment ref="AB19" dT="2023-11-22T14:28:41.36" personId="{93238EA4-A97E-43A0-A9D2-13620007081D}" id="{F2F14B71-C293-4393-A1B7-D416BE0126D0}">
    <text>.52</text>
  </threadedComment>
  <threadedComment ref="AB19" dT="2023-12-15T12:27:02.36" personId="{93238EA4-A97E-43A0-A9D2-13620007081D}" id="{235151EB-C029-40F7-94EA-8F8412EE363E}" parentId="{F2F14B71-C293-4393-A1B7-D416BE0126D0}">
    <text>Used to be No?</text>
  </threadedComment>
  <threadedComment ref="AC19" dT="2023-11-22T14:24:28.94" personId="{93238EA4-A97E-43A0-A9D2-13620007081D}" id="{831FC3AC-42FB-4B49-81A0-AE31D581F0B1}">
    <text>.52</text>
  </threadedComment>
  <threadedComment ref="AC19" dT="2023-12-15T12:29:29.94" personId="{93238EA4-A97E-43A0-A9D2-13620007081D}" id="{04F9EBD4-FA5E-487C-862D-70E6918508A1}" parentId="{831FC3AC-42FB-4B49-81A0-AE31D581F0B1}">
    <text>Used to be Yes?</text>
  </threadedComment>
  <threadedComment ref="AD19" dT="2023-11-22T14:24:28.94" personId="{93238EA4-A97E-43A0-A9D2-13620007081D}" id="{26CDE2E1-E6B2-4E68-B548-386A7B7DE3FC}">
    <text>.52</text>
  </threadedComment>
  <threadedComment ref="AD19" dT="2023-12-15T12:29:34.80" personId="{93238EA4-A97E-43A0-A9D2-13620007081D}" id="{3F8B42BB-81C2-4B0D-A034-FF5DFC3CE128}" parentId="{26CDE2E1-E6B2-4E68-B548-386A7B7DE3FC}">
    <text>Used to be Yes?</text>
  </threadedComment>
  <threadedComment ref="AE19" dT="2023-11-22T14:24:28.94" personId="{93238EA4-A97E-43A0-A9D2-13620007081D}" id="{880F786B-7EAF-4B1B-AAA0-4C9727DCF7D9}">
    <text>.52</text>
  </threadedComment>
  <threadedComment ref="AE19" dT="2023-12-15T12:29:39.76" personId="{93238EA4-A97E-43A0-A9D2-13620007081D}" id="{EDB1C349-8245-4C4B-9552-365ACE46557C}" parentId="{880F786B-7EAF-4B1B-AAA0-4C9727DCF7D9}">
    <text>Used to be Yes?</text>
  </threadedComment>
  <threadedComment ref="AF19" dT="2023-11-22T14:18:13.09" personId="{93238EA4-A97E-43A0-A9D2-13620007081D}" id="{D52D5ABB-72BE-4E7B-B352-DB7306D1F530}">
    <text>.29
.69-.72</text>
  </threadedComment>
  <threadedComment ref="AF19" dT="2023-12-15T12:35:58.32" personId="{93238EA4-A97E-43A0-A9D2-13620007081D}" id="{072D3AAF-1261-498F-A5BB-103805B0519F}" parentId="{D52D5ABB-72BE-4E7B-B352-DB7306D1F530}">
    <text>Used to be Yes?</text>
  </threadedComment>
  <threadedComment ref="AG19" dT="2023-11-22T14:18:44.83" personId="{93238EA4-A97E-43A0-A9D2-13620007081D}" id="{A8183F7A-99DE-4456-9758-47D48BD26E8D}">
    <text>.16</text>
  </threadedComment>
  <threadedComment ref="AS19" dT="2023-12-27T21:51:13.58" personId="{93238EA4-A97E-43A0-A9D2-13620007081D}" id="{8FD64248-DCB3-4BDA-833E-B693415E727E}">
    <text>Darts</text>
  </threadedComment>
  <threadedComment ref="S20"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W20" dT="2023-11-22T15:31:17.69" personId="{93238EA4-A97E-43A0-A9D2-13620007081D}" id="{056420F8-0F73-4671-90DD-C0A9466FC70A}">
    <text xml:space="preserve">Seite 5. (Pool)
23.06.2016 Seite 6. (bilaterale Lizenz)
</text>
  </threadedComment>
  <threadedComment ref="Y20" dT="2023-11-22T16:07:52.50" personId="{93238EA4-A97E-43A0-A9D2-13620007081D}" id="{500B0444-6357-4A8E-B404-BE0E5759F1BA}">
    <text>Seite 46, a).</text>
  </threadedComment>
  <threadedComment ref="Z20" dT="2023-11-22T17:37:29.67" personId="{93238EA4-A97E-43A0-A9D2-13620007081D}" id="{16206882-9058-462A-9286-F3D146ABBB98}">
    <text>Seite 54, (3).</text>
  </threadedComment>
  <threadedComment ref="AA20" dT="2023-11-22T17:31:42.56" personId="{93238EA4-A97E-43A0-A9D2-13620007081D}" id="{BD9E6925-7137-43CB-A15C-5B22E1DBC353}">
    <text>Seite 5-6.
Seite 55, (7).</text>
  </threadedComment>
  <threadedComment ref="AB20" dT="2023-11-22T17:09:02.99" personId="{93238EA4-A97E-43A0-A9D2-13620007081D}" id="{0084B767-6D12-4D47-AC9D-3F7DD83562B5}">
    <text>Seite 46, b).</text>
  </threadedComment>
  <threadedComment ref="AC20" dT="2023-11-22T17:31:42.56" personId="{93238EA4-A97E-43A0-A9D2-13620007081D}" id="{0D18337C-0FFA-464F-B30B-E3260AA6B2CB}">
    <text>Seite 5-6.
Seite 55, (7).</text>
  </threadedComment>
  <threadedComment ref="AF20" dT="2023-11-22T15:50:06.28" personId="{93238EA4-A97E-43A0-A9D2-13620007081D}" id="{E9CA1FDF-8E5D-40ED-AED0-6F4305073905}">
    <text>Seite 5.
Seite 6.</text>
  </threadedComment>
  <threadedComment ref="AG20" dT="2023-11-22T15:50:52.16" personId="{93238EA4-A97E-43A0-A9D2-13620007081D}" id="{AAA54E2F-A932-418E-9B92-8982AECBE12F}">
    <text>Seite 56. e).
v
Seite 10.</text>
  </threadedComment>
  <threadedComment ref="S21" dT="2023-11-22T18:03:10.89" personId="{93238EA4-A97E-43A0-A9D2-13620007081D}" id="{979429CB-32CD-476B-88C3-73579DB49340}">
    <text>Seite 5.</text>
  </threadedComment>
  <threadedComment ref="W21" dT="2023-11-22T18:04:34.33" personId="{93238EA4-A97E-43A0-A9D2-13620007081D}" id="{C9662E87-C039-4892-B7A1-2859C8C40AF8}">
    <text>Seite 5.
29.02.2016 Seite 25, a).</text>
  </threadedComment>
  <threadedComment ref="Y21" dT="2023-11-22T18:14:11.17" personId="{93238EA4-A97E-43A0-A9D2-13620007081D}" id="{7FF25ACD-A27B-47C6-952D-3980AA430214}">
    <text>Seite 23, 1. a).</text>
  </threadedComment>
  <threadedComment ref="AA21" dT="2023-11-22T18:26:51.15" personId="{93238EA4-A97E-43A0-A9D2-13620007081D}" id="{A581C339-6362-4FCE-82E7-B32D87DF082A}">
    <text>Seite 25, a).</text>
  </threadedComment>
  <threadedComment ref="AB21" dT="2023-11-22T18:26:51.15" personId="{93238EA4-A97E-43A0-A9D2-13620007081D}" id="{A8E7AD45-6AA7-4984-B9CA-3E5965C483DE}">
    <text>Seite 25, a).</text>
  </threadedComment>
  <threadedComment ref="AC21" dT="2023-11-22T18:16:41.93" personId="{93238EA4-A97E-43A0-A9D2-13620007081D}" id="{B4B34F8F-2CDB-45F7-BD8F-02D87C60FD00}">
    <text>Seite 25, 2.
Seite 26, b).
Seite 26, c).</text>
  </threadedComment>
  <threadedComment ref="AD21" dT="2023-11-22T18:31:01.28" personId="{93238EA4-A97E-43A0-A9D2-13620007081D}" id="{E766B142-2AB6-4012-A9FF-F6EEA753AF16}">
    <text>Seite 26, b).
Seite 26, c).</text>
  </threadedComment>
  <threadedComment ref="AD21" dT="2023-12-05T21:47:58.40" personId="{93238EA4-A97E-43A0-A9D2-13620007081D}" id="{ACA25F18-C9C2-4DEA-A0B8-ADCBDFDDA857}" parentId="{E766B142-2AB6-4012-A9FF-F6EEA753AF16}">
    <text>They identify a paragraph from the offer to be fair nor appropriate. That seems to be more formal than substantial.</text>
  </threadedComment>
  <threadedComment ref="AE21" dT="2023-11-22T18:36:34.25" personId="{93238EA4-A97E-43A0-A9D2-13620007081D}" id="{6DB0AABA-7550-408A-99E6-E5322A88B66C}">
    <text>Seite 26, b).
Seite 26, c).</text>
  </threadedComment>
  <threadedComment ref="AE21" dT="2023-12-05T21:48:16.12" personId="{93238EA4-A97E-43A0-A9D2-13620007081D}" id="{4850E1FB-E57F-430C-8F9C-C7B43E5F4E25}" parentId="{6DB0AABA-7550-408A-99E6-E5322A88B66C}">
    <text>They identify a paragraph from the offer to be fair nor appropriate. That seems to be more formal than substantial.</text>
  </threadedComment>
  <threadedComment ref="AG21" dT="2023-11-22T18:43:52.31" personId="{93238EA4-A97E-43A0-A9D2-13620007081D}" id="{ACFEB4D1-F148-4F9C-8B60-7B1E5C9BFB9C}">
    <text xml:space="preserve">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ext>
  </threadedComment>
  <threadedComment ref="AG21" dT="2023-12-15T12:36:04.56" personId="{93238EA4-A97E-43A0-A9D2-13620007081D}" id="{21B83DA1-47AC-4A11-BFC5-0C89816F3C20}" parentId="{ACFEB4D1-F148-4F9C-8B60-7B1E5C9BFB9C}">
    <text>Used to be Yes?</text>
  </threadedComment>
  <threadedComment ref="AN21" dT="2023-11-24T09:37:33.10" personId="{93238EA4-A97E-43A0-A9D2-13620007081D}" id="{C2541FC7-0F22-483E-8AD9-B3F8EE01E0B7}">
    <text>No winner</text>
  </threadedComment>
  <threadedComment ref="AS21" dT="2023-11-29T15:13:01.72" personId="{93238EA4-A97E-43A0-A9D2-13620007081D}" id="{9397DA02-1AC6-4D80-A6C7-766CBAB89214}">
    <text>In Darts they mention
29.05.2016</text>
  </threadedComment>
  <threadedComment ref="S22" dT="2023-11-22T23:09:36.93" personId="{93238EA4-A97E-43A0-A9D2-13620007081D}" id="{877167BD-7CAC-41EF-BB89-69DB66A58323}">
    <text>6.</text>
  </threadedComment>
  <threadedComment ref="W22" dT="2023-11-22T23:10:05.56" personId="{93238EA4-A97E-43A0-A9D2-13620007081D}" id="{E23B6A74-E6BD-4001-8F60-187DBC3541E6}">
    <text>6.</text>
  </threadedComment>
  <threadedComment ref="Y22" dT="2023-11-22T23:24:31.04" personId="{93238EA4-A97E-43A0-A9D2-13620007081D}" id="{8581FFEA-FDE5-488C-8EC6-E165493C91B8}">
    <text>.82</text>
  </threadedComment>
  <threadedComment ref="Z22" dT="2023-11-22T23:24:31.04" personId="{93238EA4-A97E-43A0-A9D2-13620007081D}" id="{2DB563DE-5EBF-468E-8F2B-DACE4EF34415}">
    <text>.82</text>
  </threadedComment>
  <threadedComment ref="AA22" dT="2023-11-22T23:24:31.04" personId="{93238EA4-A97E-43A0-A9D2-13620007081D}" id="{F19DDAA2-F68E-4E96-A256-0B286B89A4C1}">
    <text>.6
v
.82</text>
  </threadedComment>
  <threadedComment ref="AB22" dT="2023-11-22T23:24:31.04" personId="{93238EA4-A97E-43A0-A9D2-13620007081D}" id="{A69AE4A1-8D75-4949-A118-7AD497CC5C91}">
    <text>.87-.89</text>
  </threadedComment>
  <threadedComment ref="AC22" dT="2023-11-22T23:24:31.04" personId="{93238EA4-A97E-43A0-A9D2-13620007081D}" id="{08E9E524-0671-41BA-A32E-9C5A81270E17}">
    <text>.82
.84
.85</text>
  </threadedComment>
  <threadedComment ref="AD22" dT="2023-11-22T23:24:31.04" personId="{93238EA4-A97E-43A0-A9D2-13620007081D}" id="{92C5D694-A3EB-4B91-AA09-6BAC4515540E}">
    <text>.82
.84
.85</text>
  </threadedComment>
  <threadedComment ref="AD22" dT="2023-11-29T15:50:01.71" personId="{93238EA4-A97E-43A0-A9D2-13620007081D}" id="{1BCEBAA1-627A-4EC9-ABC3-858F40286023}" parentId="{92C5D694-A3EB-4B91-AA09-6BAC4515540E}">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2" dT="2023-12-05T21:54:47.09" personId="{93238EA4-A97E-43A0-A9D2-13620007081D}" id="{A539E127-2027-4D00-97AB-581F349BD830}" parentId="{92C5D694-A3EB-4B91-AA09-6BAC4515540E}">
    <text>Lack of transparency and mention of blanket multipliers. Plaintiff does not meet the requirements for FRAND offer. Seems more a Non-Formal than Non-Substantial offer.</text>
  </threadedComment>
  <threadedComment ref="AE22" dT="2023-11-22T23:24:31.04" personId="{93238EA4-A97E-43A0-A9D2-13620007081D}" id="{75219E69-C385-4D12-BA9B-16893FFDDE2B}">
    <text>.82
.84
.85</text>
  </threadedComment>
  <threadedComment ref="AG22" dT="2023-11-22T23:45:34.66" personId="{93238EA4-A97E-43A0-A9D2-13620007081D}" id="{6972D247-600A-40C0-8737-03AB375E7B7B}">
    <text>.2
.6
.88</text>
  </threadedComment>
  <threadedComment ref="AP22" dT="2023-11-27T14:20:38.51" personId="{93238EA4-A97E-43A0-A9D2-13620007081D}" id="{437A1A92-38E7-4342-9366-8B2B575626D5}">
    <text>They specify some claims (1, 2, 10-14)</text>
  </threadedComment>
  <threadedComment ref="AS22" dT="2023-11-29T15:14:37.93" personId="{93238EA4-A97E-43A0-A9D2-13620007081D}" id="{0C0AFF04-7244-41B6-80CC-9DF7B7FEBA2C}">
    <text>Darts</text>
  </threadedComment>
  <threadedComment ref="S23" dT="2023-11-23T12:38:10.29" personId="{93238EA4-A97E-43A0-A9D2-13620007081D}" id="{1DC3EFA3-7094-4225-B29C-DE5C1CF004CF}">
    <text>.6</text>
  </threadedComment>
  <threadedComment ref="W23" dT="2023-11-22T23:10:05.56" personId="{93238EA4-A97E-43A0-A9D2-13620007081D}" id="{CBC9E5F6-4610-4832-9AF5-2F1B3DE16937}">
    <text>6.</text>
  </threadedComment>
  <threadedComment ref="Y23" dT="2023-11-23T12:45:36.98" personId="{93238EA4-A97E-43A0-A9D2-13620007081D}" id="{DB35E198-40AE-431D-B6E8-AF5113E67E10}">
    <text>.115</text>
  </threadedComment>
  <threadedComment ref="Z23" dT="2023-11-23T12:45:36.98" personId="{93238EA4-A97E-43A0-A9D2-13620007081D}" id="{1C9D4FA8-D5BD-4C90-94C5-909565ACAA56}">
    <text>.115</text>
  </threadedComment>
  <threadedComment ref="AA23" dT="2023-11-22T23:24:31.04" personId="{93238EA4-A97E-43A0-A9D2-13620007081D}" id="{BEB14303-BCE4-4B41-95FD-7496B98A4645}">
    <text>.6
v
.115</text>
  </threadedComment>
  <threadedComment ref="AB23" dT="2023-11-23T12:58:37.22" personId="{93238EA4-A97E-43A0-A9D2-13620007081D}" id="{7DAF97B0-4092-4A36-8165-AC13B039CEBB}">
    <text>.120-.121</text>
  </threadedComment>
  <threadedComment ref="AC23" dT="2023-11-22T23:24:31.04" personId="{93238EA4-A97E-43A0-A9D2-13620007081D}" id="{63CC0C4E-8748-4E92-B088-5B26C1920853}">
    <text>.115
.117
.118</text>
  </threadedComment>
  <threadedComment ref="AD23" dT="2023-11-22T23:24:31.04" personId="{93238EA4-A97E-43A0-A9D2-13620007081D}" id="{BC5C6EC1-9F5D-46BE-B23B-58F726995896}">
    <text>.115
.117
.118</text>
  </threadedComment>
  <threadedComment ref="AD23" dT="2023-11-29T15:50:10.38" personId="{93238EA4-A97E-43A0-A9D2-13620007081D}" id="{28B38D32-DED5-4322-B07D-B472DBF24BC6}" parentId="{BC5C6EC1-9F5D-46BE-B23B-58F726995896}">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3" dT="2023-12-05T22:00:51.27" personId="{93238EA4-A97E-43A0-A9D2-13620007081D}" id="{C52AF6CD-5485-4253-ACC0-D5FA79234900}" parentId="{BC5C6EC1-9F5D-46BE-B23B-58F726995896}">
    <text>Lack of transparency and mention of blanket multipliers. Plaintiff does not meet the requirements for FRAND offer. Seems more a Non-Formal than Non-Substantial offer.</text>
  </threadedComment>
  <threadedComment ref="AE23" dT="2023-11-22T23:24:31.04" personId="{93238EA4-A97E-43A0-A9D2-13620007081D}" id="{7019CFC9-E6B4-45EE-8823-67B69E3C31B7}">
    <text>.115
.117
.118</text>
  </threadedComment>
  <threadedComment ref="AG23" dT="2023-11-22T23:45:34.66" personId="{93238EA4-A97E-43A0-A9D2-13620007081D}" id="{B16CBB56-9A44-44B8-A9F9-2A1AF47C0AB3}">
    <text>.2
.6
.121</text>
  </threadedComment>
  <threadedComment ref="S24" dT="2023-11-23T17:09:44.87" personId="{93238EA4-A97E-43A0-A9D2-13620007081D}" id="{BF02811B-B8B9-4F5F-8F82-4625DD156433}">
    <text>Seite 5.</text>
  </threadedComment>
  <threadedComment ref="W24" dT="2023-11-23T17:11:12.49" personId="{93238EA4-A97E-43A0-A9D2-13620007081D}" id="{F2A8F871-1FF8-4FE7-8E7D-E4566BF8D3ED}">
    <text>Seite 5.</text>
  </threadedComment>
  <threadedComment ref="Y24" dT="2023-11-23T13:25:31.61" personId="{93238EA4-A97E-43A0-A9D2-13620007081D}" id="{08678D9E-B56F-45CB-816F-F0CE907B80DB}">
    <text>Seite 19, 1.</text>
  </threadedComment>
  <threadedComment ref="Z24" dT="2023-11-23T13:33:45.31" personId="{93238EA4-A97E-43A0-A9D2-13620007081D}" id="{B27D5B05-884A-425B-B2D8-DBB496F6FF65}">
    <text>Seite 19, 2.</text>
  </threadedComment>
  <threadedComment ref="Z24" dT="2023-12-15T12:25:26.87" personId="{93238EA4-A97E-43A0-A9D2-13620007081D}" id="{57A75D8A-4A19-4748-ABB2-B5786600DA8B}" parentId="{B27D5B05-884A-425B-B2D8-DBB496F6FF65}">
    <text>Used to be Yes?</text>
  </threadedComment>
  <threadedComment ref="AA24" dT="2023-11-23T13:37:35.11" personId="{93238EA4-A97E-43A0-A9D2-13620007081D}" id="{B466C1B6-420E-43CD-A903-715CFED0B505}">
    <text>Seite 25.</text>
  </threadedComment>
  <threadedComment ref="AA24" dT="2023-11-23T13:37:42.94" personId="{93238EA4-A97E-43A0-A9D2-13620007081D}" id="{9C9FA946-1DAE-48F0-B4B7-C99D87458021}" parentId="{B466C1B6-420E-43CD-A903-715CFED0B505}">
    <text xml:space="preserve">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ext>
  </threadedComment>
  <threadedComment ref="AB24" dT="2023-11-23T13:36:05.78" personId="{93238EA4-A97E-43A0-A9D2-13620007081D}" id="{A52E4642-6F92-4FDF-B713-D302DD51685D}">
    <text>Seite 24, bb).
Seite 25</text>
  </threadedComment>
  <threadedComment ref="AC24" dT="2023-11-23T13:33:45.31" personId="{93238EA4-A97E-43A0-A9D2-13620007081D}" id="{37899348-D9BC-411F-891A-F0A5B1B40C14}">
    <text>No?
Seite 19, 2.</text>
  </threadedComment>
  <threadedComment ref="AC24" dT="2023-11-23T13:40:33.53" personId="{93238EA4-A97E-43A0-A9D2-13620007081D}" id="{D1FA9E49-0295-4872-8175-28814EF94F7E}" parentId="{37899348-D9BC-411F-891A-F0A5B1B40C14}">
    <text xml:space="preserve">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D24" dT="2023-11-23T13:41:11.92" personId="{93238EA4-A97E-43A0-A9D2-13620007081D}" id="{F8446CDB-710B-4AF1-BF54-4916C2B9DCA7}">
    <text>Seite 25.</text>
  </threadedComment>
  <threadedComment ref="AD24" dT="2023-11-23T13:41:18.91" personId="{93238EA4-A97E-43A0-A9D2-13620007081D}" id="{8DFD9BD6-9D03-4402-85C8-A7AC36ED7365}" parentId="{F8446CDB-710B-4AF1-BF54-4916C2B9DCA7}">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E24" dT="2023-11-23T13:41:11.92" personId="{93238EA4-A97E-43A0-A9D2-13620007081D}" id="{04B44218-2295-4D08-8EAD-214D27630DFB}">
    <text>Seite 25.</text>
  </threadedComment>
  <threadedComment ref="AE24" dT="2023-11-23T13:41:18.91" personId="{93238EA4-A97E-43A0-A9D2-13620007081D}" id="{0F548A9A-282D-4637-9F07-4D0E1BD49F77}" parentId="{04B44218-2295-4D08-8EAD-214D27630DFB}">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G24" dT="2023-11-23T14:19:51.31" personId="{93238EA4-A97E-43A0-A9D2-13620007081D}" id="{81BA32FF-08AF-46DA-9724-E7573ED245C4}">
    <text>Seite 4.
Seite 5.</text>
  </threadedComment>
  <threadedComment ref="AS24" dT="2023-12-27T21:34:29.12" personId="{93238EA4-A97E-43A0-A9D2-13620007081D}" id="{68322D8E-74BE-4B99-8122-C50EC680694E}">
    <text>Darts</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S25" dT="2023-11-23T17:06:18.97" personId="{93238EA4-A97E-43A0-A9D2-13620007081D}" id="{753E906D-DA6A-4715-BE87-B48D0658B120}">
    <text>Seite 8.</text>
  </threadedComment>
  <threadedComment ref="W25" dT="2023-11-23T17:32:02.77" personId="{93238EA4-A97E-43A0-A9D2-13620007081D}" id="{ECE222F2-FEA0-4D09-BB87-6353FAE3F855}">
    <text>Seite 8.</text>
  </threadedComment>
  <threadedComment ref="Y25" dT="2023-11-23T17:46:43.68" personId="{93238EA4-A97E-43A0-A9D2-13620007081D}" id="{97FFB6EF-A401-4E81-BF9B-16DF9C5CF5DB}">
    <text>Seite 36,  B.
Seite 39, III.
Seite 43, 3.</text>
  </threadedComment>
  <threadedComment ref="Z25" dT="2023-11-23T17:46:43.68" personId="{93238EA4-A97E-43A0-A9D2-13620007081D}" id="{C80100D7-74F4-46F1-8CD7-F5BE556F0AAD}">
    <text>Seite 36,  B.
Seite 39, III.</text>
  </threadedComment>
  <threadedComment ref="AA25" dT="2023-11-23T17:52:50.83" personId="{93238EA4-A97E-43A0-A9D2-13620007081D}" id="{97615FE6-6644-4A44-889E-E5734C339E89}">
    <text>Seite 39, III.
Seite 39, III. 1.</text>
  </threadedComment>
  <threadedComment ref="AB25" dT="2023-11-23T17:52:56.95" personId="{93238EA4-A97E-43A0-A9D2-13620007081D}" id="{596AA57F-A0D1-453C-826B-B210F61BB233}">
    <text>Seite 39, III.
Seite 40, 2.</text>
  </threadedComment>
  <threadedComment ref="AC25" dT="2023-11-23T17:46:43.68" personId="{93238EA4-A97E-43A0-A9D2-13620007081D}" id="{07935794-0C72-4175-B385-6F99CFA3C573}">
    <text>Seite 36,  B.
Seite 39, III.
Seite 43, 3.
Seite 49, d).</text>
  </threadedComment>
  <threadedComment ref="AD25" dT="2023-11-23T18:28:16.17" personId="{93238EA4-A97E-43A0-A9D2-13620007081D}" id="{E9D4C900-9CD9-47DD-8602-4BD62D3FE493}">
    <text>Seite 39, III.
Seite 39, III. 3.
Seite 49, d).</text>
  </threadedComment>
  <threadedComment ref="AD25" dT="2023-11-23T18:38:26.41" personId="{93238EA4-A97E-43A0-A9D2-13620007081D}" id="{1B58AE23-8210-4A56-BCF6-4FAEF9B7917F}" parentId="{E9D4C900-9CD9-47DD-8602-4BD62D3FE493}">
    <text>I found reasons for the content, but no mention of formal reasons to not treat is as a FRAND offer. Apparently the offer is not considered to be delayed.</text>
  </threadedComment>
  <threadedComment ref="AD25" dT="2023-12-05T22:12:19.50" personId="{93238EA4-A97E-43A0-A9D2-13620007081D}" id="{ED29C4B7-523C-413B-B50E-370B01CD2A80}" parentId="{E9D4C900-9CD9-47DD-8602-4BD62D3FE493}">
    <text>Mention that the offer of the plaintiff does not meet the FRAND criteria, which makes me believe it is more of a Non-Formal rather than a Non-Substantial.</text>
  </threadedComment>
  <threadedComment ref="AD25" dT="2023-12-15T12:32:41.23" personId="{93238EA4-A97E-43A0-A9D2-13620007081D}" id="{2235971C-5D5E-4A30-8686-C136770BA37B}" parentId="{E9D4C900-9CD9-47DD-8602-4BD62D3FE493}">
    <text>Used to be No?</text>
  </threadedComment>
  <threadedComment ref="AE25" dT="2023-11-23T18:02:30.40" personId="{93238EA4-A97E-43A0-A9D2-13620007081D}" id="{31C5E17B-C3EF-4E97-8F5D-E39FA746E084}">
    <text>Seite 50-52.</text>
  </threadedComment>
  <threadedComment ref="AE25" dT="2023-12-05T22:33:51.96" personId="{93238EA4-A97E-43A0-A9D2-13620007081D}" id="{864469EB-D333-4539-9B11-343F0BC6A0F9}" parentId="{31C5E17B-C3EF-4E97-8F5D-E39FA746E084}">
    <text>Some mention of the criteria: Top-Down approach.
Apparently the fees are too high.</text>
  </threadedComment>
  <threadedComment ref="AE25" dT="2023-12-15T12:32:51.17" personId="{93238EA4-A97E-43A0-A9D2-13620007081D}" id="{781C590F-5D7B-4E84-A1ED-8B011AAB4FF0}" parentId="{31C5E17B-C3EF-4E97-8F5D-E39FA746E084}">
    <text>Used to be No?</text>
  </threadedComment>
  <threadedComment ref="AG25" dT="2023-11-23T17:08:20.10" personId="{93238EA4-A97E-43A0-A9D2-13620007081D}" id="{B115F07B-1A0A-4A56-B3EE-14BB59A9FDEA}">
    <text>Seite 8.</text>
  </threadedComment>
  <threadedComment ref="AS25" dT="2023-11-29T15:13:01.72" personId="{93238EA4-A97E-43A0-A9D2-13620007081D}" id="{429854C5-7B0C-4B4B-A71B-14B4050D0F0B}">
    <text>In Darts they mention
29.05.2016</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S26" dT="2023-11-23T18:35:20.41" personId="{93238EA4-A97E-43A0-A9D2-13620007081D}" id="{2BE178FA-B8AF-46D3-A634-779DD04F17B8}">
    <text>Seite 4, 1.
two dates for contacts
29.03.2016 
06.03.2018</text>
  </threadedComment>
  <threadedComment ref="W26" dT="2023-11-23T18:35:20.41" personId="{93238EA4-A97E-43A0-A9D2-13620007081D}" id="{F805A726-D6B7-4204-B780-CDE6696E6BB0}">
    <text>Seite 4, 1.
No mention of the date of the offer, two dates for contacts
29.03.2016 
06.03.2018</text>
  </threadedComment>
  <threadedComment ref="Y26" dT="2023-11-23T18:37:26.15" personId="{93238EA4-A97E-43A0-A9D2-13620007081D}" id="{6548FB9E-BDDE-446B-9DD5-C2081CA60D68}">
    <text>Justus</text>
  </threadedComment>
  <threadedComment ref="Z26" dT="2023-11-22T16:36:14.90" personId="{93238EA4-A97E-43A0-A9D2-13620007081D}" id="{30F86032-25DB-44FD-BFC7-43E37815DED8}">
    <text>Justus</text>
  </threadedComment>
  <threadedComment ref="AA26" dT="2023-11-22T16:36:21.75" personId="{93238EA4-A97E-43A0-A9D2-13620007081D}" id="{643659E2-4C6F-4DCE-A11A-65C6C5543C61}">
    <text>Justus</text>
  </threadedComment>
  <threadedComment ref="AB26" dT="2023-11-22T16:36:27.15" personId="{93238EA4-A97E-43A0-A9D2-13620007081D}" id="{BC3021EB-84B2-4B2C-9E11-9BBE6E9852BA}">
    <text>Justus</text>
  </threadedComment>
  <threadedComment ref="AC26" dT="2023-11-22T16:36:31.71" personId="{93238EA4-A97E-43A0-A9D2-13620007081D}" id="{28EE8380-3487-44F8-8201-A801300D3C24}">
    <text>Justus</text>
  </threadedComment>
  <threadedComment ref="AD26" dT="2023-11-22T16:36:35.46" personId="{93238EA4-A97E-43A0-A9D2-13620007081D}" id="{F5F8CDD5-AED7-461E-AA64-7940E4653A28}">
    <text>Justus</text>
  </threadedComment>
  <threadedComment ref="AE26" dT="2023-11-22T16:36:39.15" personId="{93238EA4-A97E-43A0-A9D2-13620007081D}" id="{0AF583BC-EB75-4ADB-9290-46A033ECE4FF}">
    <text>Justus</text>
  </threadedComment>
  <threadedComment ref="AF26" dT="2023-11-22T16:36:42.82" personId="{93238EA4-A97E-43A0-A9D2-13620007081D}" id="{27933688-529F-4963-A2F6-1183B0514040}">
    <text>Justus</text>
  </threadedComment>
  <threadedComment ref="AG26" dT="2023-11-22T16:36:47.83" personId="{93238EA4-A97E-43A0-A9D2-13620007081D}" id="{D17E918F-54F0-4A2F-950C-E49C751057EB}">
    <text>Justus</text>
  </threadedComment>
  <threadedComment ref="S27" dT="2023-11-22T18:56:07.05" personId="{93238EA4-A97E-43A0-A9D2-13620007081D}" id="{70AE830D-9037-4E5A-9CBD-A0BF45D5A1A8}">
    <text>Seite 14.
Seite 47, II. 1.
Seite 48, b).</text>
  </threadedComment>
  <threadedComment ref="W27" dT="2023-11-22T18:57:43.88" personId="{93238EA4-A97E-43A0-A9D2-13620007081D}" id="{E7462449-A2B1-43B4-A6C1-F01CFE2E8B45}">
    <text>Seite 14.</text>
  </threadedComment>
  <threadedComment ref="Y27" dT="2023-11-22T19:03:51.32" personId="{93238EA4-A97E-43A0-A9D2-13620007081D}" id="{332B5C43-FCA3-4AF6-9803-E77C75835B63}">
    <text>Seite 47, II.</text>
  </threadedComment>
  <threadedComment ref="Z27" dT="2023-11-22T19:03:51.32" personId="{93238EA4-A97E-43A0-A9D2-13620007081D}" id="{7C793561-349D-48EB-99BC-876ABD0CFAAA}">
    <text>Seite 47, II.</text>
  </threadedComment>
  <threadedComment ref="Z27" dT="2023-11-22T19:10:46.39" personId="{93238EA4-A97E-43A0-A9D2-13620007081D}" id="{196344BF-4358-4528-8DBB-8EBE21172B85}" parentId="{7C793561-349D-48EB-99BC-876ABD0CFAAA}">
    <text>I would say NO, since even the existence of the Dominant position was not proven (nor denied), but you first need to have a dominant position to be able to then abuse it.</text>
  </threadedComment>
  <threadedComment ref="Z27" dT="2023-12-15T12:25:42.27" personId="{93238EA4-A97E-43A0-A9D2-13620007081D}" id="{B804A78E-C309-4D7B-BB1B-86C570778980}" parentId="{7C793561-349D-48EB-99BC-876ABD0CFAAA}">
    <text>Used to be No?</text>
  </threadedComment>
  <threadedComment ref="AA27" dT="2023-11-22T19:03:51.32" personId="{93238EA4-A97E-43A0-A9D2-13620007081D}" id="{E10BCF7F-90BE-4B32-839D-92C18BA57CDE}">
    <text>Seite 47, II. 1.</text>
  </threadedComment>
  <threadedComment ref="AB27" dT="2023-11-22T19:04:45.70" personId="{93238EA4-A97E-43A0-A9D2-13620007081D}" id="{33FD4864-4026-44AB-800D-0A7060724B91}">
    <text>Seite 47, II.</text>
  </threadedComment>
  <threadedComment ref="AC27" dT="2023-11-22T19:26:24.71" personId="{93238EA4-A97E-43A0-A9D2-13620007081D}" id="{B7101FB9-380A-40BD-B9B9-C3819D1BC23D}">
    <text>Could be that it was not cover because of the unwillingness (or lack of willingness to license) on the defendant side?</text>
  </threadedComment>
  <threadedComment ref="AD27" dT="2023-11-22T19:26:24.71" personId="{93238EA4-A97E-43A0-A9D2-13620007081D}" id="{72496DA0-D770-48F7-B134-3A2D20F18DF8}">
    <text>Could be that it was not cover because of the unwillingness (or lack of willingness to license) on the defendant side?</text>
  </threadedComment>
  <threadedComment ref="AE27" dT="2023-11-22T19:26:24.71" personId="{93238EA4-A97E-43A0-A9D2-13620007081D}" id="{8F601B0D-AD37-4508-9DD2-ACAE8C2E95DC}">
    <text>Could be that it was not cover because of the unwillingness (or lack of willingness to license) on the defendant side?</text>
  </threadedComment>
  <threadedComment ref="AF27" dT="2023-11-22T19:28:05.00" personId="{93238EA4-A97E-43A0-A9D2-13620007081D}" id="{FA452729-21F2-4D3F-9C9C-AC8D8066EC54}">
    <text>Seite 15.</text>
  </threadedComment>
  <threadedComment ref="AG27" dT="2023-11-22T19:28:33.09" personId="{93238EA4-A97E-43A0-A9D2-13620007081D}" id="{79FE8500-6511-4BC3-B801-8D72D0A0619B}">
    <text>Seite 7.
Seite 15.</text>
  </threadedComment>
  <threadedComment ref="AG27" dT="2023-12-15T12:36:07.34" personId="{93238EA4-A97E-43A0-A9D2-13620007081D}" id="{71FEDA99-A043-457D-ACEC-45A69E3B2E8B}" parentId="{79FE8500-6511-4BC3-B801-8D72D0A0619B}">
    <text>Used to be Yes?</text>
  </threadedComment>
  <threadedComment ref="AJ27" dT="2023-11-24T10:49:19.64" personId="{93238EA4-A97E-43A0-A9D2-13620007081D}" id="{CB444B42-B704-41CC-B358-3C2998F1B36D}">
    <text>Apparently, upheld (same winners and losers)</text>
  </threadedComment>
  <threadedComment ref="AS27" dT="2023-12-27T21:51:18.83" personId="{93238EA4-A97E-43A0-A9D2-13620007081D}" id="{CD7BD07C-5F8C-4AD2-93C8-4A7F40C84374}">
    <text>Darts</text>
  </threadedComment>
  <threadedComment ref="N28" dT="2023-11-16T17:51:44.28" personId="{93238EA4-A97E-43A0-A9D2-13620007081D}" id="{5DE5FFF7-4B4A-4F06-8FEE-D2EA893C3F86}">
    <text>09.09.2021</text>
  </threadedComment>
  <threadedComment ref="S28" dT="2023-11-16T12:00:24.84" personId="{93238EA4-A97E-43A0-A9D2-13620007081D}" id="{DD313215-8F23-4B49-BB04-A9F01CFE46D5}">
    <text>.113-.115</text>
  </threadedComment>
  <threadedComment ref="W28"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W28" dT="2023-12-07T19:24:47.55" personId="{93238EA4-A97E-43A0-A9D2-13620007081D}" id="{3868806C-BB23-4AC5-9324-CD806D858674}" parentId="{2C23597A-C1C3-4B8E-8BC7-5F2B10698D17}">
    <text>15.
Mentions an offer from 25.10.2019.</text>
  </threadedComment>
  <threadedComment ref="Y28" dT="2023-11-16T12:36:11.37" personId="{93238EA4-A97E-43A0-A9D2-13620007081D}" id="{173AD7E3-37D9-4723-808B-4AFB294DB41A}">
    <text>.109</text>
  </threadedComment>
  <threadedComment ref="Z28" dT="2023-11-16T12:36:03.21" personId="{93238EA4-A97E-43A0-A9D2-13620007081D}" id="{8BD9A6CB-D0DD-4195-8AC8-F5279250D84E}">
    <text>.108
.109</text>
  </threadedComment>
  <threadedComment ref="AA28" dT="2023-11-16T12:00:24.84" personId="{93238EA4-A97E-43A0-A9D2-13620007081D}" id="{B3C0DF3B-BBD5-45DD-A8D1-D4AD34BDB990}">
    <text>.113-.115
.120</text>
  </threadedComment>
  <threadedComment ref="AB28" dT="2023-11-16T12:13:28.68" personId="{93238EA4-A97E-43A0-A9D2-13620007081D}" id="{AA68C7F0-E46C-476C-9045-C2D561D11488}">
    <text>.93
.122
.126
.129
.133
.147
.158</text>
  </threadedComment>
  <threadedComment ref="AC28"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C28"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C28" dT="2023-11-16T18:20:07.07" personId="{93238EA4-A97E-43A0-A9D2-13620007081D}" id="{D16FD23A-F5B7-4015-BE84-7D4FE7BF9397}" parentId="{26189A36-12CF-40B8-833B-EE9BD884D1ED}">
    <text>.123</text>
  </threadedComment>
  <threadedComment ref="AD28" dT="2023-11-16T18:20:24.63" personId="{93238EA4-A97E-43A0-A9D2-13620007081D}" id="{6EA72CE3-6593-4A47-9042-2E4319A3D811}">
    <text>.123</text>
  </threadedComment>
  <threadedComment ref="AE28" dT="2023-11-16T18:20:30.61" personId="{93238EA4-A97E-43A0-A9D2-13620007081D}" id="{0922E0C7-44B8-4FB6-98F8-32EFC834B933}">
    <text>.123</text>
  </threadedComment>
  <threadedComment ref="AG28" dT="2023-11-16T13:14:44.63" personId="{93238EA4-A97E-43A0-A9D2-13620007081D}" id="{BA9EDA50-01A9-4C3C-B886-E8F68DF74FEF}">
    <text>There are talks about the defendant's products in Germany.</text>
  </threadedComment>
  <threadedComment ref="AP28" dT="2023-11-27T14:20:38.51" personId="{93238EA4-A97E-43A0-A9D2-13620007081D}" id="{8C2034B7-AD78-48EE-9321-8DC291F96A6F}">
    <text>They specify some claims (1-4, 7-9, 10-17)</text>
  </threadedComment>
  <threadedComment ref="AS28" dT="2023-11-29T15:21:03.09" personId="{93238EA4-A97E-43A0-A9D2-13620007081D}" id="{C95E86EF-7415-4AB0-8E64-E742A29AF738}">
    <text>Darts</text>
  </threadedComment>
  <threadedComment ref="Y29" dT="2023-11-17T12:34:25.66" personId="{93238EA4-A97E-43A0-A9D2-13620007081D}" id="{761A5474-9529-4236-8FCE-08CECFEA3CB2}">
    <text>Page 7, B.</text>
  </threadedComment>
  <threadedComment ref="Z29" dT="2023-11-17T12:34:31.08" personId="{93238EA4-A97E-43A0-A9D2-13620007081D}" id="{604B89DE-D753-46CA-B15A-EFBB343C1CA8}">
    <text>Page 7, B.
Page 8, II.</text>
  </threadedComment>
  <threadedComment ref="AA29" dT="2023-11-17T12:34:40.75" personId="{93238EA4-A97E-43A0-A9D2-13620007081D}" id="{4E83A58E-4D09-43D6-85CD-85E9F612A6BF}">
    <text>Page 7, B.</text>
  </threadedComment>
  <threadedComment ref="AB29" dT="2023-11-17T12:34:45.18" personId="{93238EA4-A97E-43A0-A9D2-13620007081D}" id="{C5F91382-A51D-48B9-88F4-AA5F43346683}">
    <text>Page 7, B.
Page 8, II.
Page 11, 2.</text>
  </threadedComment>
  <threadedComment ref="AG29" dT="2023-11-17T12:47:32.62" personId="{93238EA4-A97E-43A0-A9D2-13620007081D}" id="{50F8D0FE-530F-4418-8D6E-42E6CA49A793}">
    <text>Plaintiff is a global leader in mobile communications.
Page 3</text>
  </threadedComment>
  <threadedComment ref="AJ29" dT="2023-11-24T10:53:10.03" personId="{93238EA4-A97E-43A0-A9D2-13620007081D}" id="{0C85D065-B681-4CB4-9BD0-4663A42F9A51}">
    <text>Not provided by Darts, interpretation.
Der Antrag der Beklagten, die Zwangsvollstreckung aus dem Urteil des Landgerichts Mannheim vom 5. Juli 
2022, Az. 2 O 75/21, einstweilen einzustellen, wird zurückgewiesen.</text>
  </threadedComment>
  <threadedComment ref="AS29" dT="2023-12-27T21:53:36.89" personId="{93238EA4-A97E-43A0-A9D2-13620007081D}" id="{05DC0EA7-B36D-45E0-9648-332CDB72B5AB}">
    <text>Darts</text>
  </threadedComment>
  <threadedComment ref="E30"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0"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S30" dT="2023-12-07T20:28:05.47" personId="{93238EA4-A97E-43A0-A9D2-13620007081D}" id="{5C3C4CB6-8457-4DD2-AAC6-3CCDF6053A4F}">
    <text>Seite 4-5.
Not actually on the 01 of November, just says November 2013.</text>
  </threadedComment>
  <threadedComment ref="W30" dT="2023-12-07T20:28:05.47" personId="{93238EA4-A97E-43A0-A9D2-13620007081D}" id="{F8457BBB-0BAE-41FA-BA0A-A9848E7C8FE2}">
    <text>Seite 4-5.
Not actually on the 01 of November, just says November 2013.
The date of the E-mail offer is REDACTED, but it is mentioned following the contact of November  from 2013.</text>
  </threadedComment>
  <threadedComment ref="Y30" dT="2023-11-17T17:10:17.51" personId="{93238EA4-A97E-43A0-A9D2-13620007081D}" id="{7C342666-B26B-403C-9977-CBBED95EBDF2}">
    <text>Seite 23, 1.</text>
  </threadedComment>
  <threadedComment ref="Z30" dT="2023-11-17T17:10:17.51" personId="{93238EA4-A97E-43A0-A9D2-13620007081D}" id="{705FF9C5-01E1-4547-8F24-431292BB224A}">
    <text>Seite 23, 2.</text>
  </threadedComment>
  <threadedComment ref="AA30" dT="2023-11-17T17:30:14.64" personId="{93238EA4-A97E-43A0-A9D2-13620007081D}" id="{5F39CE75-7B02-4C59-8B87-A6FA5F129528}">
    <text>Seite 26, aa)</text>
  </threadedComment>
  <threadedComment ref="AB30" dT="2023-11-17T17:38:46.43" personId="{93238EA4-A97E-43A0-A9D2-13620007081D}" id="{E9EA7940-9E67-4AD4-906F-2218E7397FCF}">
    <text>Seite 28, cc)</text>
  </threadedComment>
  <threadedComment ref="AC30" dT="2023-11-17T17:10:17.51" personId="{93238EA4-A97E-43A0-A9D2-13620007081D}" id="{BFD397D0-4817-4B00-B656-9A5B7DDA32ED}">
    <text>Seite 23, 2.
Seite 24, aa)
Seite 26, aa)
Seite 28, cc)</text>
  </threadedComment>
  <threadedComment ref="AD30" dT="2023-11-17T17:30:29.59" personId="{93238EA4-A97E-43A0-A9D2-13620007081D}" id="{6C548694-67E3-4F4B-9AA6-A57D5BAC8D30}">
    <text>Seite 26, aa)</text>
  </threadedComment>
  <threadedComment ref="AE30" dT="2023-11-17T17:30:29.59" personId="{93238EA4-A97E-43A0-A9D2-13620007081D}" id="{2C8AF8BB-BA7A-444C-970D-4D7DF9C9C981}">
    <text>Seite 26, aa)</text>
  </threadedComment>
  <threadedComment ref="AG30" dT="2023-11-17T23:24:02.13" personId="{93238EA4-A97E-43A0-A9D2-13620007081D}" id="{FA804282-A67F-457E-A06E-528A15AFD57E}">
    <text>Seite 3.
The plaintiff is a global company.</text>
  </threadedComment>
  <threadedComment ref="AP30" dT="2023-11-27T14:20:38.51" personId="{93238EA4-A97E-43A0-A9D2-13620007081D}" id="{B48BDD31-2C43-4771-9906-B5F0B06605A4}">
    <text>They specify some claims (1, 9, 10 &amp; 19)</text>
  </threadedComment>
  <threadedComment ref="E31" dT="2023-11-17T23:30:02.76" personId="{93238EA4-A97E-43A0-A9D2-13620007081D}" id="{E0E7265F-6E13-4C37-8E24-DAD5F48A85B3}">
    <text>I am NOT sure why I found it to be an injunction. While studying it more, I would say it may be a NO.</text>
  </threadedComment>
  <threadedComment ref="E31"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1" dT="2023-11-22T16:25:26.97" personId="{93238EA4-A97E-43A0-A9D2-13620007081D}" id="{A3C06943-3601-4F36-B061-A1BA7ACB3C78}" parentId="{E0E7265F-6E13-4C37-8E24-DAD5F48A85B3}">
    <text>Justus said YES</text>
  </threadedComment>
  <threadedComment ref="S31" dT="2023-11-16T21:19:44.20" personId="{93238EA4-A97E-43A0-A9D2-13620007081D}" id="{3FEB7CB6-AA8F-4B82-BEE2-24326B9857F2}">
    <text>Letter of July 2014 (after the complaint)
.215</text>
  </threadedComment>
  <threadedComment ref="W31" dT="2023-12-07T20:07:19.17" personId="{93238EA4-A97E-43A0-A9D2-13620007081D}" id="{078D766E-7C00-4E05-A9B9-E507CFF463E9}">
    <text>.83</text>
  </threadedComment>
  <threadedComment ref="Y31" dT="2023-11-16T20:06:04.41" personId="{93238EA4-A97E-43A0-A9D2-13620007081D}" id="{3E7EA171-BAEF-4F1D-A449-22FCF0C01A33}">
    <text>.186
.201
.242</text>
  </threadedComment>
  <threadedComment ref="Z31" dT="2023-11-16T20:06:10.80" personId="{93238EA4-A97E-43A0-A9D2-13620007081D}" id="{E8F3AC25-DE07-4181-81D3-533209D14AE2}">
    <text>.186
.202
.206
.209</text>
  </threadedComment>
  <threadedComment ref="AA31" dT="2023-11-16T20:47:02.36" personId="{93238EA4-A97E-43A0-A9D2-13620007081D}" id="{E9E6F090-9304-4077-8A91-00E3C45AF2F8}">
    <text>.207
v
.228
.239</text>
  </threadedComment>
  <threadedComment ref="AB31" dT="2023-11-16T20:03:46.40" personId="{93238EA4-A97E-43A0-A9D2-13620007081D}" id="{83FCE9E1-8B20-4F39-8AB2-5D9CDC528930}">
    <text>.82
.186
v
.206
.243</text>
  </threadedComment>
  <threadedComment ref="AC31" dT="2023-11-16T20:12:04.47" personId="{93238EA4-A97E-43A0-A9D2-13620007081D}" id="{F062CCD5-47D6-4522-9E44-9D94A312866B}">
    <text>.220</text>
  </threadedComment>
  <threadedComment ref="AC31" dT="2023-12-15T12:33:33.12" personId="{93238EA4-A97E-43A0-A9D2-13620007081D}" id="{9BD834C5-2C53-4127-9BF3-CE3B6C761679}" parentId="{F062CCD5-47D6-4522-9E44-9D94A312866B}">
    <text>Used to be Yes?</text>
  </threadedComment>
  <threadedComment ref="AD31" dT="2023-11-16T21:18:15.98" personId="{93238EA4-A97E-43A0-A9D2-13620007081D}" id="{2A8CA73E-062F-479E-9DE7-D8821BD08BF0}">
    <text>.207
v
.228
.239</text>
  </threadedComment>
  <threadedComment ref="AE31" dT="2023-11-16T21:22:14.44" personId="{93238EA4-A97E-43A0-A9D2-13620007081D}" id="{43934D66-E41E-417C-AB05-6A7052748D79}">
    <text>.221</text>
  </threadedComment>
  <threadedComment ref="AE31" dT="2023-11-22T16:35:51.69" personId="{93238EA4-A97E-43A0-A9D2-13620007081D}" id="{1088B803-EB26-4F06-B703-26CF433AEF0C}" parentId="{43934D66-E41E-417C-AB05-6A7052748D79}">
    <text>-
Justus</text>
  </threadedComment>
  <threadedComment ref="AF31" dT="2023-11-16T20:07:56.35" personId="{93238EA4-A97E-43A0-A9D2-13620007081D}" id="{42FA180C-70E4-4473-9F8D-72B8CB7CB8C5}">
    <text>.83
Only mention of a pool, and apparently it is a competing or not related offer.</text>
  </threadedComment>
  <threadedComment ref="AG31" dT="2023-11-16T20:08:33.23" personId="{93238EA4-A97E-43A0-A9D2-13620007081D}" id="{6DA23761-49B1-4700-AC58-419B4470BBC7}">
    <text>.43
.58
.219-.220</text>
  </threadedComment>
  <threadedComment ref="AJ31" dT="2023-11-24T10:10:48.23" personId="{93238EA4-A97E-43A0-A9D2-13620007081D}" id="{12DF9E45-A378-45FB-938C-8110365ADDEB}">
    <text>Apparently, there was no decision/outcome</text>
  </threadedComment>
  <threadedComment ref="AS31" dT="2023-12-27T22:01:32.39" personId="{93238EA4-A97E-43A0-A9D2-13620007081D}" id="{61FC6129-3ABA-4FD5-B632-C5F82DE3A30C}">
    <text>Darts</text>
  </threadedComment>
  <threadedComment ref="Y32" dT="2023-11-16T18:06:22.13" personId="{93238EA4-A97E-43A0-A9D2-13620007081D}" id="{207B801F-31D0-4C9C-A086-4F820F9ADB07}">
    <text>.108
.109</text>
  </threadedComment>
  <threadedComment ref="Z32" dT="2023-11-16T18:06:29.04" personId="{93238EA4-A97E-43A0-A9D2-13620007081D}" id="{FE31989E-86F2-4B00-A3A5-AA5EC650E1AA}">
    <text>.109</text>
  </threadedComment>
  <threadedComment ref="AA32" dT="2023-11-16T18:06:34.03" personId="{93238EA4-A97E-43A0-A9D2-13620007081D}" id="{B7DA0F0B-E204-4444-BDF2-2C70E82FC777}">
    <text>.109</text>
  </threadedComment>
  <threadedComment ref="AB32" dT="2023-11-16T18:06:39.49" personId="{93238EA4-A97E-43A0-A9D2-13620007081D}" id="{F58A42DF-7443-4C6A-9858-29EE53B6B800}">
    <text>.109
.117
.135</text>
  </threadedComment>
  <threadedComment ref="AC32" dT="2023-11-16T18:17:50.26" personId="{93238EA4-A97E-43A0-A9D2-13620007081D}" id="{C6D4D238-7894-4FC5-AC68-EC20F12208A9}">
    <text>.116</text>
  </threadedComment>
  <threadedComment ref="AD32" dT="2023-11-16T18:20:40.98" personId="{93238EA4-A97E-43A0-A9D2-13620007081D}" id="{2B2385BA-05F0-467B-AEBA-61F793465773}">
    <text>.116</text>
  </threadedComment>
  <threadedComment ref="AE32" dT="2023-11-16T18:20:45.68" personId="{93238EA4-A97E-43A0-A9D2-13620007081D}" id="{ABEE2949-8A88-4147-AB12-24042AD914E3}">
    <text>.116</text>
  </threadedComment>
  <threadedComment ref="AG32" dT="2023-11-16T18:22:10.46" personId="{93238EA4-A97E-43A0-A9D2-13620007081D}" id="{B2AABF7B-88DB-4638-9012-EBD94A99FC17}">
    <text>.137
.3</text>
  </threadedComment>
  <threadedComment ref="AG32" dT="2023-12-15T12:36:09.93" personId="{93238EA4-A97E-43A0-A9D2-13620007081D}" id="{BE44711D-0A69-4F02-911F-BD9D92236437}" parentId="{B2AABF7B-88DB-4638-9012-EBD94A99FC17}">
    <text>Used to be Yes?</text>
  </threadedComment>
  <threadedComment ref="AS32" dT="2023-12-27T22:03:07.06" personId="{93238EA4-A97E-43A0-A9D2-13620007081D}" id="{3E07184D-52FF-435F-BCB2-5DF5F2174D65}">
    <text>Darts</text>
  </threadedComment>
  <threadedComment ref="S33" dT="2023-11-16T19:11:58.68" personId="{93238EA4-A97E-43A0-A9D2-13620007081D}" id="{9D03BA9B-D146-4CB2-9142-BFE43E0CC808}">
    <text>A lot of mentions of 27.09.2019.
Could that be the date of first contact?</text>
  </threadedComment>
  <threadedComment ref="W33" dT="2023-11-16T19:11:58.68" personId="{93238EA4-A97E-43A0-A9D2-13620007081D}" id="{F49DDB79-A966-4B13-A2E9-514AD8DF682D}">
    <text>A lot of mentions of 27.09.2019.
Could that be the date of first contact?</text>
  </threadedComment>
  <threadedComment ref="W33" dT="2023-12-07T21:22:03.59" personId="{93238EA4-A97E-43A0-A9D2-13620007081D}" id="{26CE04F7-E00D-4A5E-85C1-CBA73553EE84}" parentId="{F49DDB79-A966-4B13-A2E9-514AD8DF682D}">
    <text>Offers redacted.</text>
  </threadedComment>
  <threadedComment ref="Y33" dT="2023-11-16T18:47:57.21" personId="{93238EA4-A97E-43A0-A9D2-13620007081D}" id="{640A6F64-90E1-4530-AA21-817436122B5B}">
    <text>.160</text>
  </threadedComment>
  <threadedComment ref="Z33" dT="2023-11-16T18:48:17.75" personId="{93238EA4-A97E-43A0-A9D2-13620007081D}" id="{FF28101F-2B3B-436A-AB9D-FDB5698B2840}">
    <text>.160</text>
  </threadedComment>
  <threadedComment ref="AA33" dT="2023-11-16T18:48:25.68" personId="{93238EA4-A97E-43A0-A9D2-13620007081D}" id="{23DA45D0-CF7A-48BB-9C0C-CF1D00DB3FA2}">
    <text>.160</text>
  </threadedComment>
  <threadedComment ref="AB33" dT="2023-11-16T18:57:25.74" personId="{93238EA4-A97E-43A0-A9D2-13620007081D}" id="{71588D51-8393-4AA4-B627-428465223A1D}">
    <text>.159</text>
  </threadedComment>
  <threadedComment ref="AC33" dT="2023-11-16T19:01:46.33" personId="{93238EA4-A97E-43A0-A9D2-13620007081D}" id="{8EDC881C-30B7-402A-9934-E55795459E62}">
    <text>.3
.168</text>
  </threadedComment>
  <threadedComment ref="AD33" dT="2023-11-16T19:01:46.33" personId="{93238EA4-A97E-43A0-A9D2-13620007081D}" id="{6E8A1B40-525C-4897-A93A-973BABA78DEF}">
    <text>.3
.168</text>
  </threadedComment>
  <threadedComment ref="AE33" dT="2023-11-16T19:01:46.33" personId="{93238EA4-A97E-43A0-A9D2-13620007081D}" id="{A37EF9FE-58EE-4ADA-BF47-D93EA9A0ADCC}">
    <text>.3
.168</text>
  </threadedComment>
  <threadedComment ref="AS33" dT="2023-11-29T15:22:00.91" personId="{93238EA4-A97E-43A0-A9D2-13620007081D}" id="{77A30FBC-0A3B-4BBA-A6DD-ECF5136311FB}">
    <text>Darts</text>
  </threadedComment>
  <threadedComment ref="S34" dT="2023-11-16T19:29:24.32" personId="{93238EA4-A97E-43A0-A9D2-13620007081D}" id="{8C4E2F3A-CA43-4A10-87B0-5C1B364A8DB4}">
    <text>.218
Does not say first of March, just March 2021.</text>
  </threadedComment>
  <threadedComment ref="S34"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W34" dT="2023-11-16T19:29:24.32" personId="{93238EA4-A97E-43A0-A9D2-13620007081D}" id="{B12636DA-3367-4E46-8000-165A158D426A}">
    <text>.218
Does not say first of March, just March 2021.</text>
  </threadedComment>
  <threadedComment ref="W34"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Y34" dT="2023-11-16T19:15:11.15" personId="{93238EA4-A97E-43A0-A9D2-13620007081D}" id="{62525DBA-E842-4502-B0E7-2E7189929999}">
    <text>.147</text>
  </threadedComment>
  <threadedComment ref="Z34" dT="2023-11-16T19:15:57.66" personId="{93238EA4-A97E-43A0-A9D2-13620007081D}" id="{279AE4AD-3F7B-4A94-806E-9DF7C16D6A21}">
    <text>.148</text>
  </threadedComment>
  <threadedComment ref="AA34" dT="2023-11-16T19:16:06.40" personId="{93238EA4-A97E-43A0-A9D2-13620007081D}" id="{E8FE9379-E2FE-45CC-9EA5-6442610B6433}">
    <text>.148</text>
  </threadedComment>
  <threadedComment ref="AB34" dT="2023-11-16T19:15:20.34" personId="{93238EA4-A97E-43A0-A9D2-13620007081D}" id="{F834FC62-3BF0-4620-990F-E2B3CCD68B81}">
    <text>.147-.148</text>
  </threadedComment>
  <threadedComment ref="AC34" dT="2023-11-16T19:17:27.06" personId="{93238EA4-A97E-43A0-A9D2-13620007081D}" id="{3F317A96-995E-4F3C-B256-ED2E96047783}">
    <text>.146</text>
  </threadedComment>
  <threadedComment ref="AD34" dT="2023-11-16T19:17:27.06" personId="{93238EA4-A97E-43A0-A9D2-13620007081D}" id="{94464D30-535B-446D-8906-A69FB659B6DD}">
    <text>.146</text>
  </threadedComment>
  <threadedComment ref="AE34" dT="2023-11-16T19:17:27.06" personId="{93238EA4-A97E-43A0-A9D2-13620007081D}" id="{604015B3-3624-479F-9CE5-301B35A49D2B}">
    <text>.146</text>
  </threadedComment>
  <threadedComment ref="AF34" dT="2023-11-16T19:19:32.72" personId="{93238EA4-A97E-43A0-A9D2-13620007081D}" id="{9FDED2AD-6E19-4714-B389-DEA910F87BD2}">
    <text>.160</text>
  </threadedComment>
  <threadedComment ref="AP34" dT="2023-11-27T17:07:41.60" personId="{93238EA4-A97E-43A0-A9D2-13620007081D}" id="{384B7DEF-4C89-426B-8C29-FE5C8C48F961}">
    <text>Replacement of claims 1 and 11.</text>
  </threadedComment>
  <threadedComment ref="AS34" dT="2023-11-29T14:55:40.11" personId="{93238EA4-A97E-43A0-A9D2-13620007081D}" id="{717EAF44-80B1-48EB-AE36-32E62C95E609}">
    <text>Darts</text>
  </threadedComment>
  <threadedComment ref="AS34" dT="2023-11-29T14:56:18.84" personId="{93238EA4-A97E-43A0-A9D2-13620007081D}" id="{BD7BBCCB-C644-4078-9991-107801B9242C}" parentId="{717EAF44-80B1-48EB-AE36-32E62C95E609}">
    <text>Could be an old one, in Darts there is also a mention of 28.01.2021</text>
  </threadedComment>
  <threadedComment ref="S35" dT="2023-11-15T18:01:33.36" personId="{93238EA4-A97E-43A0-A9D2-13620007081D}" id="{65F36519-37F1-4B7C-8395-49F0E6D86C7E}">
    <text>.99
.147</text>
  </threadedComment>
  <threadedComment ref="W35" dT="2023-11-15T18:01:23.10" personId="{93238EA4-A97E-43A0-A9D2-13620007081D}" id="{55AD3A0E-21EF-49E1-AF5F-F63F3F879281}">
    <text>.99
.147</text>
  </threadedComment>
  <threadedComment ref="Y35" dT="2023-11-15T21:17:53.85" personId="{93238EA4-A97E-43A0-A9D2-13620007081D}" id="{683BD3A6-6578-457F-B03B-6EEFF5CF13AF}">
    <text>.122
.128</text>
  </threadedComment>
  <threadedComment ref="Z35" dT="2023-11-15T18:14:03.25" personId="{93238EA4-A97E-43A0-A9D2-13620007081D}" id="{0C6CBC3A-0569-476D-A95C-151FDB78D92C}">
    <text>.128</text>
  </threadedComment>
  <threadedComment ref="AA35" dT="2023-11-15T18:01:11.57" personId="{93238EA4-A97E-43A0-A9D2-13620007081D}" id="{4DAC637B-F74B-4518-BF22-3180F2DAD4F3}">
    <text>.99
.147</text>
  </threadedComment>
  <threadedComment ref="AB35" dT="2023-11-15T18:00:28.93" personId="{93238EA4-A97E-43A0-A9D2-13620007081D}" id="{90E97536-CB72-4B15-9570-3FBE1112BAA9}">
    <text>.99
.121
.130-.134
.149
.157</text>
  </threadedComment>
  <threadedComment ref="AC35" dT="2023-11-15T18:19:55.45" personId="{93238EA4-A97E-43A0-A9D2-13620007081D}" id="{A28C7A37-D5A6-494E-8CB8-09CE321F86BF}">
    <text>.127
.148
v
.257</text>
  </threadedComment>
  <threadedComment ref="AC35" dT="2023-12-15T12:30:29.11" personId="{93238EA4-A97E-43A0-A9D2-13620007081D}" id="{913C63B0-4530-48DB-B0EB-3260F1E32018}" parentId="{A28C7A37-D5A6-494E-8CB8-09CE321F86BF}">
    <text>Used to be Yes?</text>
  </threadedComment>
  <threadedComment ref="AD35" dT="2023-11-15T18:19:55.45" personId="{93238EA4-A97E-43A0-A9D2-13620007081D}" id="{93F0393E-2240-4EDB-BF06-140F980B6AE3}">
    <text>.127
.148
v
.257</text>
  </threadedComment>
  <threadedComment ref="AD35" dT="2023-12-15T12:30:35.46" personId="{93238EA4-A97E-43A0-A9D2-13620007081D}" id="{072CDF2D-437A-48E7-811F-77D20941D05E}" parentId="{93F0393E-2240-4EDB-BF06-140F980B6AE3}">
    <text>Used to be Yes?</text>
  </threadedComment>
  <threadedComment ref="AE35" dT="2023-11-15T18:19:55.45" personId="{93238EA4-A97E-43A0-A9D2-13620007081D}" id="{FC8A089C-2997-4DDB-8106-7818C35B37DB}">
    <text>.127
.148
v
.257</text>
  </threadedComment>
  <threadedComment ref="AE35" dT="2023-12-15T12:30:38.92" personId="{93238EA4-A97E-43A0-A9D2-13620007081D}" id="{703B58ED-95F5-436E-9422-6187B87FDB74}" parentId="{FC8A089C-2997-4DDB-8106-7818C35B37DB}">
    <text>Used to be Yes?</text>
  </threadedComment>
  <threadedComment ref="AF35" dT="2023-11-15T20:57:29.98" personId="{93238EA4-A97E-43A0-A9D2-13620007081D}" id="{206497A4-76D7-470B-AD2F-57A1A1B93B5B}">
    <text>.16
.98
.146
.149</text>
  </threadedComment>
  <threadedComment ref="AG35" dT="2023-11-15T21:01:52.60" personId="{93238EA4-A97E-43A0-A9D2-13620007081D}" id="{73512851-3F22-4EFC-AE6D-D90EFBD405D9}">
    <text>.144
And Avanci is the pool</text>
  </threadedComment>
  <threadedComment ref="AG35" dT="2023-12-15T12:36:14.57" personId="{93238EA4-A97E-43A0-A9D2-13620007081D}" id="{26D4459A-5CBA-4D62-96C0-68F5C5380D03}" parentId="{73512851-3F22-4EFC-AE6D-D90EFBD405D9}">
    <text>Used to be Yes?</text>
  </threadedComment>
  <threadedComment ref="AS35" dT="2023-12-27T22:06:20.82" personId="{93238EA4-A97E-43A0-A9D2-13620007081D}" id="{794B8060-3F8A-4B2B-8C51-F2AF0634A0BE}">
    <text>Darts</text>
  </threadedComment>
  <threadedComment ref="S36" dT="2023-11-15T12:28:19.42" personId="{93238EA4-A97E-43A0-A9D2-13620007081D}" id="{DBE253BE-AF64-4BBE-80A7-5845DDA2EE20}">
    <text>.22</text>
  </threadedComment>
  <threadedComment ref="W36" dT="2023-11-15T12:28:19.42" personId="{93238EA4-A97E-43A0-A9D2-13620007081D}" id="{ABE688B0-9C4E-4756-A264-DC08C69102C9}">
    <text>.22</text>
  </threadedComment>
  <threadedComment ref="Y36" dT="2023-11-15T12:34:49.83" personId="{93238EA4-A97E-43A0-A9D2-13620007081D}" id="{26B0930E-D173-4DAC-BED2-4542622C4B9F}">
    <text>.280</text>
  </threadedComment>
  <threadedComment ref="Z36" dT="2023-11-15T12:34:58.44" personId="{93238EA4-A97E-43A0-A9D2-13620007081D}" id="{8623A888-7CC2-4957-9920-32340E3C7CD5}">
    <text>.288
v
.290</text>
  </threadedComment>
  <threadedComment ref="Z36" dT="2023-12-15T12:26:26.87" personId="{93238EA4-A97E-43A0-A9D2-13620007081D}" id="{379AC0DC-AFA8-413D-80F0-6BC4FE2B6E81}" parentId="{8623A888-7CC2-4957-9920-32340E3C7CD5}">
    <text>Used to be Yes?</text>
  </threadedComment>
  <threadedComment ref="AA36" dT="2023-11-15T12:35:26.80" personId="{93238EA4-A97E-43A0-A9D2-13620007081D}" id="{1BA235EC-7A76-4CD0-A572-9B7BE56A27D6}">
    <text>.297</text>
  </threadedComment>
  <threadedComment ref="AB36" dT="2023-11-15T12:37:51.69" personId="{93238EA4-A97E-43A0-A9D2-13620007081D}" id="{06101EA1-7432-4726-8F69-C0065A321006}">
    <text>.305</text>
  </threadedComment>
  <threadedComment ref="AC36" dT="2023-11-15T12:38:01.18" personId="{93238EA4-A97E-43A0-A9D2-13620007081D}" id="{BB3B60CB-C675-4D3D-828C-30AD9DDC536B}">
    <text>.278
.321
.322
.418</text>
  </threadedComment>
  <threadedComment ref="AC36"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D36" dT="2023-11-15T12:39:34.57" personId="{93238EA4-A97E-43A0-A9D2-13620007081D}" id="{6EFCDBFC-A684-404F-831C-5A81A424B998}">
    <text>.322
.342
.354
.375
.422
.449
.451</text>
  </threadedComment>
  <threadedComment ref="AD36" dT="2023-11-29T16:32:25.45" personId="{93238EA4-A97E-43A0-A9D2-13620007081D}" id="{57A58916-60B8-4B0E-A68D-84626A0C4250}" parentId="{6EFCDBFC-A684-404F-831C-5A81A424B998}">
    <text>Mentions of both, timing and lack of clarity for the calculations.</text>
  </threadedComment>
  <threadedComment ref="AE36" dT="2023-11-15T12:39:34.57" personId="{93238EA4-A97E-43A0-A9D2-13620007081D}" id="{71F4F368-F857-4F17-984C-635BFFAFF387}">
    <text>.322
.420</text>
  </threadedComment>
  <threadedComment ref="AE36" dT="2023-11-29T16:32:39.00" personId="{93238EA4-A97E-43A0-A9D2-13620007081D}" id="{4F1BC6D9-A2A4-445A-AB79-AA738A7052A0}" parentId="{71F4F368-F857-4F17-984C-635BFFAFF387}">
    <text>Mentions of both, timing and lack of clarity for the calculations.</text>
  </threadedComment>
  <threadedComment ref="AG36" dT="2023-11-15T13:02:39.72" personId="{93238EA4-A97E-43A0-A9D2-13620007081D}" id="{591C794C-CBB7-4BA1-9A7D-84B6A99E64DB}">
    <text>.26
.40
.44</text>
  </threadedComment>
  <threadedComment ref="AP36" dT="2023-11-27T18:02:14.73" personId="{93238EA4-A97E-43A0-A9D2-13620007081D}" id="{DA19761D-8780-4954-91DE-B545AC858EB9}">
    <text>Mention of claims 12-16.</text>
  </threadedComment>
  <threadedComment ref="O37" dT="2023-12-15T12:23:17.01" personId="{93238EA4-A97E-43A0-A9D2-13620007081D}" id="{4BE678D7-7B62-4577-BA39-F789DD56FCB4}">
    <text>Used to be ?
Then 1?</text>
  </threadedComment>
  <threadedComment ref="S37" dT="2023-11-15T13:05:07.38" personId="{93238EA4-A97E-43A0-A9D2-13620007081D}" id="{3297C1C8-FE32-4BD7-B4F1-435BE0AC11A4}">
    <text>.23</text>
  </threadedComment>
  <threadedComment ref="W37" dT="2023-11-15T13:05:07.38" personId="{93238EA4-A97E-43A0-A9D2-13620007081D}" id="{B4204844-7F7C-48BA-8027-8A0E691609EF}">
    <text>.23</text>
  </threadedComment>
  <threadedComment ref="Y37" dT="2023-11-15T13:07:24.29" personId="{93238EA4-A97E-43A0-A9D2-13620007081D}" id="{327D0410-ACF5-4493-9A42-07A05EF47F4C}">
    <text>.280</text>
  </threadedComment>
  <threadedComment ref="Z37" dT="2023-11-15T12:34:58.44" personId="{93238EA4-A97E-43A0-A9D2-13620007081D}" id="{A9E70471-0252-4B8E-8EEA-8A0B86649338}">
    <text>.288
v
.290</text>
  </threadedComment>
  <threadedComment ref="Z37" dT="2023-12-15T12:26:19.63" personId="{93238EA4-A97E-43A0-A9D2-13620007081D}" id="{1A9B88CB-DB97-4BCD-A9DE-84F20A819620}" parentId="{A9E70471-0252-4B8E-8EEA-8A0B86649338}">
    <text>Used to be Yes?</text>
  </threadedComment>
  <threadedComment ref="AA37" dT="2023-11-15T12:35:26.80" personId="{93238EA4-A97E-43A0-A9D2-13620007081D}" id="{C39E3FEB-91B7-472F-B37D-DABE0041E6DD}">
    <text>.297</text>
  </threadedComment>
  <threadedComment ref="AB37" dT="2023-11-15T12:37:51.69" personId="{93238EA4-A97E-43A0-A9D2-13620007081D}" id="{703B2099-4A73-47E6-B958-778363EEE7BE}">
    <text>.305</text>
  </threadedComment>
  <threadedComment ref="AC37" dT="2023-11-15T13:06:13.77" personId="{93238EA4-A97E-43A0-A9D2-13620007081D}" id="{50129832-456B-49EA-8C84-59095651758B}">
    <text>.278
.321
.322
.418</text>
  </threadedComment>
  <threadedComment ref="AD37" dT="2023-11-15T12:39:34.57" personId="{93238EA4-A97E-43A0-A9D2-13620007081D}" id="{2B182C5B-22FB-4B85-AD86-097330DA34FF}">
    <text>.322
.342
.354
.375
.422
.449
.451</text>
  </threadedComment>
  <threadedComment ref="AD37" dT="2023-11-29T16:32:28.81" personId="{93238EA4-A97E-43A0-A9D2-13620007081D}" id="{A291F062-B26F-448A-893B-972A5196DF91}" parentId="{2B182C5B-22FB-4B85-AD86-097330DA34FF}">
    <text>Mentions of both, timing and lack of clarity for the calculations.</text>
  </threadedComment>
  <threadedComment ref="AE37" dT="2023-11-15T12:39:34.57" personId="{93238EA4-A97E-43A0-A9D2-13620007081D}" id="{A922801C-39AE-433C-957F-D1B93102DCA0}">
    <text>.322
.420</text>
  </threadedComment>
  <threadedComment ref="AE37" dT="2023-11-29T16:32:33.57" personId="{93238EA4-A97E-43A0-A9D2-13620007081D}" id="{F42EBE9F-ACA5-4052-BD00-986E6B2078AE}" parentId="{A922801C-39AE-433C-957F-D1B93102DCA0}">
    <text>Mentions of both, timing and lack of clarity for the calculations.</text>
  </threadedComment>
  <threadedComment ref="AG37" dT="2023-11-15T13:02:39.72" personId="{93238EA4-A97E-43A0-A9D2-13620007081D}" id="{1B6F6C68-D29A-4382-8ECD-D66CADBFCD86}">
    <text>.26
.40
.44</text>
  </threadedComment>
  <threadedComment ref="AP37" dT="2023-11-27T18:02:14.73" personId="{93238EA4-A97E-43A0-A9D2-13620007081D}" id="{C6960B14-9A6D-465A-8F43-D9050A6D30B9}">
    <text>Mention of claims 12-16.</text>
  </threadedComment>
  <threadedComment ref="D38" dT="2023-11-22T16:26:16.53" personId="{93238EA4-A97E-43A0-A9D2-13620007081D}" id="{D1F1137E-468B-40F6-BEE2-C208688AF1C6}">
    <text>{the order here is reversed; the implementer successfully sues for a customs ban to be lifted}
Justus</text>
  </threadedComment>
  <threadedComment ref="E38" dT="2023-10-10T18:56:17.06" personId="{93238EA4-A97E-43A0-A9D2-13620007081D}" id="{5E4E8F6F-606C-43D4-9789-3DCE838E8B1B}">
    <text>.17
Der Antrag auf Erlass einer einstweiligen Verfügung ist zulässig (I.) und begründet (II). 
.29
.41</text>
  </threadedComment>
  <threadedComment ref="E38"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8"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8" dT="2023-11-15T17:08:41.46" personId="{93238EA4-A97E-43A0-A9D2-13620007081D}" id="{D18CB940-09D4-45F4-9721-F0C2D0776C3A}">
    <text>.15</text>
  </threadedComment>
  <threadedComment ref="U38" dT="2023-11-15T17:09:19.58" personId="{93238EA4-A97E-43A0-A9D2-13620007081D}" id="{D857CAF7-E19C-443D-970A-7E2D38383CFF}">
    <text>.15</text>
  </threadedComment>
  <threadedComment ref="Y38" dT="2023-11-15T17:34:20.78" personId="{93238EA4-A97E-43A0-A9D2-13620007081D}" id="{31A2A35C-55F3-4B2F-A6A6-F617D7D34CD5}">
    <text>.15
.32</text>
  </threadedComment>
  <threadedComment ref="Z38" dT="2023-11-15T17:35:20.15" personId="{93238EA4-A97E-43A0-A9D2-13620007081D}" id="{09E97978-1016-4877-891D-A6EACF1A147D}">
    <text>.33</text>
  </threadedComment>
  <threadedComment ref="AC38" dT="2023-11-22T16:33:49.25" personId="{93238EA4-A97E-43A0-A9D2-13620007081D}" id="{6CC488B0-877B-4EA1-B24C-732FBB2F7715}">
    <text xml:space="preserve">NO
Justus </text>
  </threadedComment>
  <threadedComment ref="D39"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39" dT="2023-11-22T16:28:54.51" personId="{93238EA4-A97E-43A0-A9D2-13620007081D}" id="{1DFE4EEE-9C5F-4835-9D45-15014ADB83D0}" parentId="{BD3FCE49-6D9F-4368-8E12-D77345524D9E}">
    <text>{retracted}
Justus</text>
  </threadedComment>
  <threadedComment ref="E39" dT="2023-11-22T16:29:12.68" personId="{93238EA4-A97E-43A0-A9D2-13620007081D}" id="{5C247FD9-A2AE-4138-94AD-AA72A347838B}">
    <text>{because retracted}
No?
Justus</text>
  </threadedComment>
  <threadedComment ref="E39" dT="2023-11-30T19:27:39.81" personId="{93238EA4-A97E-43A0-A9D2-13620007081D}" id="{0A539F9F-9B13-4A32-AF18-3789F8B664B2}" parentId="{5C247FD9-A2AE-4138-94AD-AA72A347838B}">
    <text>Changed to No for the graphs</text>
  </threadedComment>
  <threadedComment ref="Y39" dT="2023-11-22T16:32:49.53" personId="{93238EA4-A97E-43A0-A9D2-13620007081D}" id="{84F1FA65-247A-4FE6-A693-2357F8C0E5FC}">
    <text>{was not tested because action for injunctive relief retracted}
Justus</text>
  </threadedComment>
  <threadedComment ref="Z39" dT="2023-11-22T16:32:49.53" personId="{93238EA4-A97E-43A0-A9D2-13620007081D}" id="{44E58E5E-434A-45E2-BAA6-ED12AD9627FC}">
    <text>{was not tested because action for injunctive relief retracted}
Justus</text>
  </threadedComment>
  <threadedComment ref="AA39" dT="2023-11-22T16:32:49.53" personId="{93238EA4-A97E-43A0-A9D2-13620007081D}" id="{14FF0BC7-A3FC-4588-8F7B-D1B983BF5673}">
    <text>{was not tested because action for injunctive relief retracted}
Justus</text>
  </threadedComment>
  <threadedComment ref="AB39" dT="2023-11-22T16:32:49.53" personId="{93238EA4-A97E-43A0-A9D2-13620007081D}" id="{3349219C-C6EB-4C13-932F-D7156F365284}">
    <text>{was not tested because action for injunctive relief retracted}
Justus</text>
  </threadedComment>
  <threadedComment ref="AC39" dT="2023-11-22T16:32:49.53" personId="{93238EA4-A97E-43A0-A9D2-13620007081D}" id="{D7980DD2-86C7-4862-B4A5-EC316AB8BF6E}">
    <text>{was not tested because action for injunctive relief retracted}
Justus</text>
  </threadedComment>
  <threadedComment ref="AD39" dT="2023-11-22T16:32:49.53" personId="{93238EA4-A97E-43A0-A9D2-13620007081D}" id="{FCE9C9E7-A0B6-4E49-AA6C-C5A250ED233A}">
    <text>{was not tested because action for injunctive relief retracted}
Justus</text>
  </threadedComment>
  <threadedComment ref="AE39" dT="2023-11-22T16:32:49.53" personId="{93238EA4-A97E-43A0-A9D2-13620007081D}" id="{F4050829-ECBE-4DAE-9242-1FCF8FA6F27D}">
    <text>{was not tested because action for injunctive relief retracted}
Justus</text>
  </threadedComment>
  <threadedComment ref="AG39" dT="2023-11-20T14:21:01.28" personId="{93238EA4-A97E-43A0-A9D2-13620007081D}" id="{AE351F9A-17BE-426D-81B4-F5DBFE12A56E}">
    <text>Mention of the worlwide sales of the defendant. Seite 6</text>
  </threadedComment>
  <threadedComment ref="AS39" dT="2023-12-27T22:23:28.83" personId="{93238EA4-A97E-43A0-A9D2-13620007081D}" id="{52BA4B67-2E77-4AF9-BC74-BBBFC8763A3B}">
    <text>Darts</text>
  </threadedComment>
  <threadedComment ref="C40" dT="2023-10-10T19:16:26.64" personId="{93238EA4-A97E-43A0-A9D2-13620007081D}" id="{65CBC97A-1C38-4B3B-B6C6-39C6562E9535}">
    <text>Two dates. Latest decision (with same original complaint) was awarded an injunction</text>
  </threadedComment>
  <threadedComment ref="S40" dT="2023-11-20T18:57:14.65" personId="{93238EA4-A97E-43A0-A9D2-13620007081D}" id="{C50472F7-4D47-4403-B431-4B0855C07AA7}">
    <text>Lawsuit notification, most probably</text>
  </threadedComment>
  <threadedComment ref="W40" dT="2023-11-20T19:01:12.02" personId="{93238EA4-A97E-43A0-A9D2-13620007081D}" id="{1D48B6F2-C512-40FD-9DD7-9CEC16C8C51B}">
    <text>Seite 38, 4. a)</text>
  </threadedComment>
  <threadedComment ref="W40" dT="2023-11-20T19:03:20.38" personId="{93238EA4-A97E-43A0-A9D2-13620007081D}" id="{C65F5524-A773-49FB-94B4-ED5A0AE6ECCA}" parentId="{1D48B6F2-C512-40FD-9DD7-9CEC16C8C51B}">
    <text>Defendant's counter offer: 30.05.2014</text>
  </threadedComment>
  <threadedComment ref="X40" dT="2023-11-20T19:03:45.77" personId="{93238EA4-A97E-43A0-A9D2-13620007081D}" id="{AB8A4BFD-B7CF-4829-A77D-A53D2994688D}">
    <text>I would say it is the later date</text>
  </threadedComment>
  <threadedComment ref="Y40" dT="2023-11-20T14:32:03.99" personId="{93238EA4-A97E-43A0-A9D2-13620007081D}" id="{6EB991B9-E067-4DC7-96ED-35D336C7B4AA}">
    <text>Seite 19, III.</text>
  </threadedComment>
  <threadedComment ref="Z40" dT="2023-11-20T14:32:10.42" personId="{93238EA4-A97E-43A0-A9D2-13620007081D}" id="{D343255F-847F-4D6E-8499-F725EEA34BEF}">
    <text>Seite 19, III.</text>
  </threadedComment>
  <threadedComment ref="AA40" dT="2023-11-20T14:32:15.71" personId="{93238EA4-A97E-43A0-A9D2-13620007081D}" id="{86D504D6-2341-4191-972A-A37EC2DA99C2}">
    <text>Seite 19, III.
Transitional case, apparently before Huawei v ZTE, the offer was not required to have been made before the lawsuit.</text>
  </threadedComment>
  <threadedComment ref="AB40" dT="2023-11-20T18:15:12.73" personId="{93238EA4-A97E-43A0-A9D2-13620007081D}" id="{5CF8D17A-0CB0-4B99-8A1D-B6BE3E570FE8}">
    <text>Seite 21
Beide Seiten zeigen sich zwar im Grunde Willens, einen Lizenzvertrag abzuschließen</text>
  </threadedComment>
  <threadedComment ref="AC40" dT="2023-11-20T18:21:24.36" personId="{93238EA4-A97E-43A0-A9D2-13620007081D}" id="{9EAC1566-CBF9-4202-BAC5-88C5AE8DD480}">
    <text>Seite 35, e).</text>
  </threadedComment>
  <threadedComment ref="AD40"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0" dT="2023-12-15T12:30:59.75" personId="{93238EA4-A97E-43A0-A9D2-13620007081D}" id="{A17D5C5B-2E23-4E7D-B1A7-82395BC2D332}" parentId="{85F926B5-3CA9-49A8-BFF9-F91561B02CF5}">
    <text>Used to be Yes*</text>
  </threadedComment>
  <threadedComment ref="AE40" dT="2023-11-20T18:21:24.36" personId="{93238EA4-A97E-43A0-A9D2-13620007081D}" id="{E53AFF5A-16D9-4C84-9A51-33B955C0531E}">
    <text>Seite 35, e).</text>
  </threadedComment>
  <threadedComment ref="AF40" dT="2023-11-20T19:05:42.65" personId="{93238EA4-A97E-43A0-A9D2-13620007081D}" id="{B8A6B17E-9E02-471B-A708-92213B33AD82}">
    <text>Seite 5</text>
  </threadedComment>
  <threadedComment ref="AG40" dT="2023-11-20T18:21:24.36" personId="{93238EA4-A97E-43A0-A9D2-13620007081D}" id="{6962D191-5A58-4E39-AB0F-5754B1F7E3BF}">
    <text>Seite 35, e).
Seite 38, b).</text>
  </threadedComment>
  <threadedComment ref="AJ40" dT="2023-11-24T10:11:55.47" personId="{93238EA4-A97E-43A0-A9D2-13620007081D}" id="{C37F0342-CF31-4E5E-A91D-708A69520CFF}">
    <text>Reversed in part? No explicit mention, but both parties are recognised as winners.</text>
  </threadedComment>
  <threadedComment ref="AP40" dT="2023-11-27T18:15:07.25" personId="{93238EA4-A97E-43A0-A9D2-13620007081D}" id="{B6E4F74B-ED10-41E8-8DE1-5D82805F2291}">
    <text>Mention of the claims 5, 6, 7, 13, 14, 15 &amp; 19).</text>
  </threadedComment>
  <threadedComment ref="AP40" dT="2023-11-28T17:21:20.94" personId="{93238EA4-A97E-43A0-A9D2-13620007081D}" id="{F69D14BC-31A1-46FF-A120-D9DE8A029299}" parentId="{B6E4F74B-ED10-41E8-8DE1-5D82805F2291}">
    <text xml:space="preserve">INEFFECTIVE!
Die Entscheidung ist wirkungslos. Die Klage ist am 05.03.2018 und 05.10.2018 zurückgenommen worden. </text>
  </threadedComment>
  <threadedComment ref="AS40" dT="2023-11-29T15:23:26.13" personId="{93238EA4-A97E-43A0-A9D2-13620007081D}" id="{42DD2DB2-5146-4EE6-B0B0-26E68A56FE1E}">
    <text>Darts</text>
  </threadedComment>
  <threadedComment ref="C41" dT="2023-10-10T19:16:26.64" personId="{93238EA4-A97E-43A0-A9D2-13620007081D}" id="{95A2629F-055A-463B-93E3-C5EAD573E9CB}">
    <text>Two dates. Latest decision (with same original complaint) was awarded an injunction</text>
  </threadedComment>
  <threadedComment ref="S41" dT="2023-11-20T18:57:14.65" personId="{93238EA4-A97E-43A0-A9D2-13620007081D}" id="{38702FA9-95E1-42CC-9C58-D7AD2C7954D6}">
    <text>Lawsuit notification, most probably</text>
  </threadedComment>
  <threadedComment ref="W41" dT="2023-11-20T19:11:39.29" personId="{93238EA4-A97E-43A0-A9D2-13620007081D}" id="{C3066B8E-8631-49F0-B97C-5E546FB5EB25}">
    <text>Seite 6
Seite 35, d).</text>
  </threadedComment>
  <threadedComment ref="X41" dT="2023-11-20T19:13:01.97" personId="{93238EA4-A97E-43A0-A9D2-13620007081D}" id="{87A1BC98-4A06-47B8-BDC1-0A8F2AC24E37}">
    <text>I would say it is the later date</text>
  </threadedComment>
  <threadedComment ref="Y41" dT="2023-11-20T14:32:03.99" personId="{93238EA4-A97E-43A0-A9D2-13620007081D}" id="{34D2BEE6-B478-4F60-AF2B-10E6AD850F6F}">
    <text>Seite 20, III.</text>
  </threadedComment>
  <threadedComment ref="Z41" dT="2023-11-20T14:32:10.42" personId="{93238EA4-A97E-43A0-A9D2-13620007081D}" id="{D8A63E64-C5AD-45C4-A3EB-6226EA2176F6}">
    <text>Seite 20, III.</text>
  </threadedComment>
  <threadedComment ref="AA41" dT="2023-11-20T14:32:15.71" personId="{93238EA4-A97E-43A0-A9D2-13620007081D}" id="{EC81A276-427D-4672-9277-0C02D421FF6B}">
    <text>Seite 20, III.
Transitional case, apparently before Huawei v ZTE, the offer was not required to have been made before the lawsuit.</text>
  </threadedComment>
  <threadedComment ref="AB41" dT="2023-11-20T18:15:12.73" personId="{93238EA4-A97E-43A0-A9D2-13620007081D}" id="{26555C26-70FC-4BDE-84E5-A2976D257413}">
    <text>Seite 22
Beide Seiten zeigen sich zwar im Grunde Willens, einen Lizenzvertrag abzuschließen</text>
  </threadedComment>
  <threadedComment ref="AC41" dT="2023-11-20T18:21:24.36" personId="{93238EA4-A97E-43A0-A9D2-13620007081D}" id="{9324A699-AD5C-4775-87FD-A6F8F73BBBD0}">
    <text>Seite 36, e).</text>
  </threadedComment>
  <threadedComment ref="AD41"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1" dT="2023-12-15T12:31:08.39" personId="{93238EA4-A97E-43A0-A9D2-13620007081D}" id="{25655213-530B-441D-A9EC-BF03F445F16B}" parentId="{E4334AC3-A9CF-48BC-905D-B9CD46C9E14C}">
    <text>Used to be Yes*</text>
  </threadedComment>
  <threadedComment ref="AE41" dT="2023-11-20T18:21:24.36" personId="{93238EA4-A97E-43A0-A9D2-13620007081D}" id="{7C68B184-A6BE-4BC9-86DC-D6F1DB3BC1BE}">
    <text>Seite 36, e).</text>
  </threadedComment>
  <threadedComment ref="AF41" dT="2023-11-20T19:05:42.65" personId="{93238EA4-A97E-43A0-A9D2-13620007081D}" id="{95699A66-523C-402B-A040-21444F92F5A0}">
    <text>Seite 5</text>
  </threadedComment>
  <threadedComment ref="AG41" dT="2023-11-20T18:21:24.36" personId="{93238EA4-A97E-43A0-A9D2-13620007081D}" id="{426269BC-B439-481E-9B0A-7C9AAC64A677}">
    <text>Seite 36, e).</text>
  </threadedComment>
  <threadedComment ref="AP41" dT="2023-11-27T18:15:07.25" personId="{93238EA4-A97E-43A0-A9D2-13620007081D}" id="{9E67DBA7-42CD-4711-9FE9-1B2B79B6B0EC}">
    <text>Mention of the claims 5, 6, 7, 13, 14, 15 &amp; 19).</text>
  </threadedComment>
  <threadedComment ref="AP41" dT="2023-11-28T17:21:37.96" personId="{93238EA4-A97E-43A0-A9D2-13620007081D}" id="{D06B33E9-7F19-48B7-A825-FB4FE1F7A255}" parentId="{9E67DBA7-42CD-4711-9FE9-1B2B79B6B0EC}">
    <text xml:space="preserve">INEFFECTIVE!
Die Entscheidung ist wirkungslos. Die Klage ist am 05.03.2018 und 05.10.2018 zurückgenommen worden. </text>
  </threadedComment>
  <threadedComment ref="AS41" dT="2023-11-29T15:23:26.13" personId="{93238EA4-A97E-43A0-A9D2-13620007081D}" id="{68E651B4-0E5B-4A80-8AD8-988ED267462B}">
    <text>Darts</text>
  </threadedComment>
  <threadedComment ref="S42"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W42"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Y42" dT="2023-11-21T12:41:19.49" personId="{93238EA4-A97E-43A0-A9D2-13620007081D}" id="{DF43F2D8-6C96-475C-B93F-54AF906A335D}">
    <text>Seite 23, 2.</text>
  </threadedComment>
  <threadedComment ref="Z42"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B42" dT="2023-11-21T12:54:57.13" personId="{93238EA4-A97E-43A0-A9D2-13620007081D}" id="{AEF55E17-00D1-4DBD-AC61-76D68D814A05}">
    <text>Seite 30, d).</text>
  </threadedComment>
  <threadedComment ref="AC42" dT="2023-11-21T12:54:40.02" personId="{93238EA4-A97E-43A0-A9D2-13620007081D}" id="{0F868D68-C18E-43F1-9342-369DD298D03A}">
    <text>No need to go through the offer (FRAND or not) because the defendant was not a willing licensee.
Seite 30, d).</text>
  </threadedComment>
  <threadedComment ref="AD42" dT="2023-11-21T12:54:40.02" personId="{93238EA4-A97E-43A0-A9D2-13620007081D}" id="{83DE3443-701B-4359-A417-CDAC6556D5A0}">
    <text>Seite 30, d).</text>
  </threadedComment>
  <threadedComment ref="AE42" dT="2023-11-21T12:54:40.02" personId="{93238EA4-A97E-43A0-A9D2-13620007081D}" id="{89CCD304-5A5D-4E05-A03F-425A201699D5}">
    <text>Seite 30, d).</text>
  </threadedComment>
  <threadedComment ref="AG42"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AG42" dT="2023-12-15T12:36:38.95" personId="{93238EA4-A97E-43A0-A9D2-13620007081D}" id="{C47D302D-548D-42D1-9EDF-85BBE6AB26F2}" parentId="{53998905-7620-4B78-8A19-2DDC9CD80B79}">
    <text>Used to be Yes?</text>
  </threadedComment>
  <threadedComment ref="AP42" dT="2023-11-27T14:20:38.51" personId="{93238EA4-A97E-43A0-A9D2-13620007081D}" id="{FB5A5662-B8B6-462D-A857-8C4530C0B236}">
    <text>They specify some claims (1, 2, 10-14)</text>
  </threadedComment>
  <threadedComment ref="AS42" dT="2023-11-29T15:14:37.93" personId="{93238EA4-A97E-43A0-A9D2-13620007081D}" id="{3D88C699-8DB7-4C56-ADC8-E017155A10BE}">
    <text>Darts</text>
  </threadedComment>
  <threadedComment ref="S43"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W43"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Y43" dT="2023-11-21T13:21:28.03" personId="{93238EA4-A97E-43A0-A9D2-13620007081D}" id="{65A01417-65CA-43B9-A015-EEAE8D8CEF62}">
    <text>Seite 27, I.</text>
  </threadedComment>
  <threadedComment ref="Z43"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B43" dT="2023-11-21T13:23:49.64" personId="{93238EA4-A97E-43A0-A9D2-13620007081D}" id="{C3580CD2-350C-4B78-9A71-A2C72BC5121D}">
    <text>Seite 29, b).</text>
  </threadedComment>
  <threadedComment ref="AC43" dT="2023-11-21T13:23:49.64" personId="{93238EA4-A97E-43A0-A9D2-13620007081D}" id="{EFF682F4-7443-4620-8F37-AF4F5DB7E15C}">
    <text>No need to go through the offer (FRAND or not) because the defendant was not a willing licensee.
Seite 34, d).</text>
  </threadedComment>
  <threadedComment ref="AD43" dT="2023-11-21T13:23:49.64" personId="{93238EA4-A97E-43A0-A9D2-13620007081D}" id="{4E31A563-477E-4127-80CF-A8CB0E4B6DC1}">
    <text>Seite 34, d).</text>
  </threadedComment>
  <threadedComment ref="AE43" dT="2023-11-21T13:23:49.64" personId="{93238EA4-A97E-43A0-A9D2-13620007081D}" id="{76B9BED2-551F-449C-9E34-CD5AAFC1084B}">
    <text>Seite 34, d).</text>
  </threadedComment>
  <threadedComment ref="AG43"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AG43" dT="2023-12-15T12:36:41.75" personId="{93238EA4-A97E-43A0-A9D2-13620007081D}" id="{0DA69FE9-1DB0-44B5-AB14-C7C3152AFC67}" parentId="{92A53489-7A5E-409D-B241-B982661AEC06}">
    <text>Used to be Yes?</text>
  </threadedComment>
  <threadedComment ref="AP43" dT="2023-11-27T18:29:19.63" personId="{93238EA4-A97E-43A0-A9D2-13620007081D}" id="{0400429E-9722-4427-B969-B47943577E5B}">
    <text>Replacement of claims 1 to 10.</text>
  </threadedComment>
  <threadedComment ref="S44"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W44"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Y44" dT="2023-11-21T13:43:38.56" personId="{93238EA4-A97E-43A0-A9D2-13620007081D}" id="{6F725F88-C3DC-4C7B-83E6-2FA8CD17D0D2}">
    <text>Seite 25, 2.</text>
  </threadedComment>
  <threadedComment ref="Z44"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B44" dT="2023-11-21T13:46:44.76" personId="{93238EA4-A97E-43A0-A9D2-13620007081D}" id="{AAD5434A-9305-486A-B847-9E383B0A9558}">
    <text>Siete 33, d).</text>
  </threadedComment>
  <threadedComment ref="AC44" dT="2023-11-21T13:47:05.26" personId="{93238EA4-A97E-43A0-A9D2-13620007081D}" id="{4F4C28F7-DF5E-48DF-8800-B23688A9BC52}">
    <text>No need to go through the offer (FRAND or not) because the defendant was not a willing licensee.
Seite 33, d).</text>
  </threadedComment>
  <threadedComment ref="AD44" dT="2023-11-21T13:47:05.26" personId="{93238EA4-A97E-43A0-A9D2-13620007081D}" id="{A979EA58-05A0-4FD4-8DB7-4DA4A36BDCA2}">
    <text>Seite 33, d).</text>
  </threadedComment>
  <threadedComment ref="AE44" dT="2023-11-21T13:47:05.26" personId="{93238EA4-A97E-43A0-A9D2-13620007081D}" id="{B5CCBBDE-C2B0-4F03-85BB-46F2C2E1B577}">
    <text>Seite 33, d).</text>
  </threadedComment>
  <threadedComment ref="AG44"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AG44" dT="2023-12-15T12:36:45.97" personId="{93238EA4-A97E-43A0-A9D2-13620007081D}" id="{D8AE9DDC-2673-4E73-9B18-A3E3301030B1}" parentId="{6878A100-0012-436D-B0FC-26A02624FDE7}">
    <text>Used to be Yes?</text>
  </threadedComment>
  <threadedComment ref="E45" dT="2023-11-21T18:50:28.28" personId="{93238EA4-A97E-43A0-A9D2-13620007081D}" id="{87D1E195-CAB7-43AC-A9E6-F793840A9045}">
    <text>Siete 33, VI.</text>
  </threadedComment>
  <threadedComment ref="S45"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W45"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Y45" dT="2023-11-21T13:58:02.60" personId="{93238EA4-A97E-43A0-A9D2-13620007081D}" id="{50CF8117-4937-4023-BB7A-1566B600871F}">
    <text>Seite 24, V. 1.</text>
  </threadedComment>
  <threadedComment ref="Z45" dT="2023-11-22T16:31:04.44" personId="{93238EA4-A97E-43A0-A9D2-13620007081D}" id="{8E338628-572D-4817-9A2A-FB1EFBF9A91E}">
    <text>YES
Justus</text>
  </threadedComment>
  <threadedComment ref="AB45" dT="2023-11-21T18:45:33.41" personId="{93238EA4-A97E-43A0-A9D2-13620007081D}" id="{0B75DEFD-6EFF-4BE0-BDD1-EDC910FB311D}">
    <text>Seite 32, d).</text>
  </threadedComment>
  <threadedComment ref="AC45" dT="2023-11-21T18:48:38.47" personId="{93238EA4-A97E-43A0-A9D2-13620007081D}" id="{7E3C3834-90E3-4F70-8DFA-4D2818CEADBF}">
    <text>Seite 33.</text>
  </threadedComment>
  <threadedComment ref="AD45" dT="2023-11-21T18:59:00.36" personId="{93238EA4-A97E-43A0-A9D2-13620007081D}" id="{D8D6515D-E62A-45E2-A152-FB85A22B760E}">
    <text>Seite 31, c).</text>
  </threadedComment>
  <threadedComment ref="AE45" dT="2023-11-21T18:48:38.47" personId="{93238EA4-A97E-43A0-A9D2-13620007081D}" id="{85C81414-F00F-44C1-9813-5D57EA6A17D9}">
    <text>Seite 33.</text>
  </threadedComment>
  <threadedComment ref="AG45" dT="2023-11-21T19:12:15.41" personId="{93238EA4-A97E-43A0-A9D2-13620007081D}" id="{3D10BC6C-8EB6-4258-A7AA-85BE3B448440}">
    <text>Seite 3.
Seite 24, 4.</text>
  </threadedComment>
  <threadedComment ref="AP45" dT="2023-11-27T14:20:38.51" personId="{93238EA4-A97E-43A0-A9D2-13620007081D}" id="{EA98DEB3-31EC-49A4-9C04-0C9FE01600B4}">
    <text>They specify some claims (1, 9, 10 &amp; 19)</text>
  </threadedComment>
  <threadedComment ref="S46"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W46"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Y46" dT="2023-11-21T20:22:38.30" personId="{93238EA4-A97E-43A0-A9D2-13620007081D}" id="{BF41718C-37D3-438C-867B-700E32205D44}">
    <text>Seite 32, E.</text>
  </threadedComment>
  <threadedComment ref="Z46" dT="2023-11-21T20:22:38.30" personId="{93238EA4-A97E-43A0-A9D2-13620007081D}" id="{B22F235B-A8FD-4F8F-A99A-94B6CF4A57C9}">
    <text>Seite 32, E.
Seite 32, E. I.
Seite 34, II.</text>
  </threadedComment>
  <threadedComment ref="AA46" dT="2023-11-21T20:23:58.07" personId="{93238EA4-A97E-43A0-A9D2-13620007081D}" id="{A624C72D-1EB0-435E-9FFC-60C82C483CD2}">
    <text>Seite 34, II. 2.
v
Seite 32, E.</text>
  </threadedComment>
  <threadedComment ref="AB46" dT="2023-11-21T20:32:59.53" personId="{93238EA4-A97E-43A0-A9D2-13620007081D}" id="{7E130F33-B8B5-4641-985E-A6B814F47E02}">
    <text>Seite 34, II. 1.</text>
  </threadedComment>
  <threadedComment ref="AC46" dT="2023-11-21T20:27:47.05" personId="{93238EA4-A97E-43A0-A9D2-13620007081D}" id="{9B216D45-3519-4534-8F68-7073E1686B1B}">
    <text>Seite 34, II. 2. a).
Seite 35, bb).</text>
  </threadedComment>
  <threadedComment ref="AD46"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46" dT="2023-12-05T23:24:26.74" personId="{93238EA4-A97E-43A0-A9D2-13620007081D}" id="{49277477-C82C-4C0C-B126-F84883D588B9}" parentId="{79BF3DD7-17BD-424E-8B85-524608DA7006}">
    <text>Seite 34, II. 2. a).</text>
  </threadedComment>
  <threadedComment ref="AD46" dT="2023-12-05T23:24:56.21" personId="{93238EA4-A97E-43A0-A9D2-13620007081D}" id="{36A8D0B8-A29C-40AA-98BB-9B4D5F3167A0}" parentId="{79BF3DD7-17BD-424E-8B85-524608DA7006}">
    <text>Mention that the offer of the plaintiff does not meet the FRAND criteria, which makes me believe it is more of a Non-Formal rather than a Non-Substantial.</text>
  </threadedComment>
  <threadedComment ref="AD46" dT="2023-12-05T23:35:57.67" personId="{93238EA4-A97E-43A0-A9D2-13620007081D}" id="{2868A64E-1018-416A-B6E0-FA89E0E2B3BE}" parentId="{79BF3DD7-17BD-424E-8B85-524608DA7006}">
    <text>Seite 35, bb).
They identify a paragraph from the offer to be fair nor appropriate. That seems to be more formal than substantial.</text>
  </threadedComment>
  <threadedComment ref="AE46" dT="2023-11-21T20:32:35.81" personId="{93238EA4-A97E-43A0-A9D2-13620007081D}" id="{19CF3F93-55A8-4BAF-9003-B021E507A2E7}">
    <text>Seite 33.
Seite 34, II. 2.</text>
  </threadedComment>
  <threadedComment ref="AG46" dT="2023-11-21T20:29:05.43" personId="{93238EA4-A97E-43A0-A9D2-13620007081D}" id="{6302D8D7-A32A-4DCF-BD5C-C7F27C48BB96}">
    <text>Seite 37, (4)</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10-10T18:56:17.06" personId="{93238EA4-A97E-43A0-A9D2-13620007081D}" id="{EDDFF372-CD93-4DF0-972E-763D987ED9E2}">
    <text xml:space="preserve">Der Antrag auf Erlass einer einstweiligen Verfügung ist zulässig (I.) und begründet (II). </text>
  </threadedComment>
  <threadedComment ref="B1" dT="2023-10-10T18:56:31.43" personId="{93238EA4-A97E-43A0-A9D2-13620007081D}" id="{C256F3D7-C5F4-49A7-8C7B-0895F5F67F79}" parentId="{EDDFF372-CD93-4DF0-972E-763D987ED9E2}">
    <text>Bei den in § 33 Abs. 1 GWB geregelten Unterlassungs- und Beseitigungsansprüchen handelt
es sich um Ansprüche aus unerlaubter Handlung.</text>
  </threadedComment>
  <threadedComment ref="C1" dT="2023-10-10T10:11:20.41" personId="{93238EA4-A97E-43A0-A9D2-13620007081D}" id="{66FD8162-B778-45A5-ACB4-ABA69E538C05}">
    <text>Mentions of Patent Holder position and maybe FRAND-Einwand</text>
  </threadedComment>
  <threadedComment ref="C1" dT="2023-10-10T10:11:32.50" personId="{93238EA4-A97E-43A0-A9D2-13620007081D}" id="{2A0C9F18-2A43-4452-9EE2-575536BF07E3}" parentId="{66FD8162-B778-45A5-ACB4-ABA69E538C05}">
    <text>[…] mangels Lizenzwilligkeit kein FRAND-Einwand zu</text>
  </threadedComment>
  <threadedComment ref="C1" dT="2023-10-10T10:11:49.37" personId="{93238EA4-A97E-43A0-A9D2-13620007081D}" id="{052AD849-4BA4-45B0-B05D-A25D9EA46E02}" parentId="{66FD8162-B778-45A5-ACB4-ABA69E538C0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X1" dT="2023-10-10T18:56:17.06" personId="{93238EA4-A97E-43A0-A9D2-13620007081D}" id="{07111C3F-D031-45ED-9BC1-4520F3AC3AC0}">
    <text xml:space="preserve">Der Antrag auf Erlass einer einstweiligen Verfügung ist zulässig (I.) und begründet (II). </text>
  </threadedComment>
  <threadedComment ref="X1" dT="2023-10-10T18:56:31.43" personId="{93238EA4-A97E-43A0-A9D2-13620007081D}" id="{4322A743-7B5A-47DA-968E-44EF0F713A74}" parentId="{07111C3F-D031-45ED-9BC1-4520F3AC3AC0}">
    <text>Bei den in § 33 Abs. 1 GWB geregelten Unterlassungs- und Beseitigungsansprüchen handelt
es sich um Ansprüche aus unerlaubter Handlung.</text>
  </threadedComment>
  <threadedComment ref="Y1" dT="2023-10-10T10:11:20.41" personId="{93238EA4-A97E-43A0-A9D2-13620007081D}" id="{7CAEA0D8-6BB1-402E-B87E-42F6D111A15D}">
    <text>Mentions of Patent Holder position and maybe FRAND-Einwand</text>
  </threadedComment>
  <threadedComment ref="Y1" dT="2023-10-10T10:11:32.50" personId="{93238EA4-A97E-43A0-A9D2-13620007081D}" id="{7FF63866-A570-422A-8193-11ADA31364BE}" parentId="{7CAEA0D8-6BB1-402E-B87E-42F6D111A15D}">
    <text>[…] mangels Lizenzwilligkeit kein FRAND-Einwand zu</text>
  </threadedComment>
  <threadedComment ref="Y1" dT="2023-10-10T10:11:49.37" personId="{93238EA4-A97E-43A0-A9D2-13620007081D}" id="{2F274EEA-58D0-46B1-8D51-5088050B7337}" parentId="{7CAEA0D8-6BB1-402E-B87E-42F6D111A15D}">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AM2" dT="2023-11-30T21:08:56.59" personId="{93238EA4-A97E-43A0-A9D2-13620007081D}" id="{B607CFBB-3F78-47FD-B388-682D9117A20D}">
    <text>Hardcoded</text>
  </threadedComment>
  <threadedComment ref="AN6" dT="2023-11-30T21:08:49.98" personId="{93238EA4-A97E-43A0-A9D2-13620007081D}" id="{0DF9FD58-AD09-4ED3-AE3C-24B2AF682156}">
    <text>Hardcoded</text>
  </threadedComment>
  <threadedComment ref="AG10" dT="2023-10-08T16:14:54.91" personId="{93238EA4-A97E-43A0-A9D2-13620007081D}" id="{DCD685DC-4274-4123-BDEE-0BFE01FEEA3B}">
    <text>Check</text>
  </threadedComment>
  <threadedComment ref="AH10" dT="2023-10-08T16:14:54.91" personId="{93238EA4-A97E-43A0-A9D2-13620007081D}" id="{E69A17D2-EBAF-4E57-B8CC-A0F2835936DA}">
    <text>Check</text>
  </threadedComment>
  <threadedComment ref="AF13" dT="2023-10-10T09:25:17.72" personId="{93238EA4-A97E-43A0-A9D2-13620007081D}" id="{BDBCFF0F-26C4-47AC-9623-88DD675AB585}">
    <text xml:space="preserve">Die Klägerin macht – nachdem die Parteien den Rechtsstreit übereinstimmend im Hinblick auf den ursprünglich auch geltend gemachten Unterlassungsanspruch teilweise für erledigt erklärt haben – </text>
  </threadedComment>
  <threadedComment ref="AF13" dT="2023-11-22T16:37:59.82" personId="{93238EA4-A97E-43A0-A9D2-13620007081D}" id="{0F539D1B-E409-4B5E-A308-8310A0E9999E}" parentId="{BDBCFF0F-26C4-47AC-9623-88DD675AB585}">
    <text>(patent expired, so no injunction issued; but court is explicit in that plaintiff had a right to request the injunction when it did)
Justus</text>
  </threadedComment>
  <threadedComment ref="AG13" dT="2023-10-08T16:15:33.03" personId="{93238EA4-A97E-43A0-A9D2-13620007081D}" id="{52D53C8D-94B1-4B6A-856A-E75AAD34E289}">
    <text>check</text>
  </threadedComment>
  <threadedComment ref="AG13" dT="2023-10-10T09:27:52.13" personId="{93238EA4-A97E-43A0-A9D2-13620007081D}" id="{B764CB64-9001-429E-A666-CFED0E51249B}" parentId="{52D53C8D-94B1-4B6A-856A-E75AAD34E289}">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AH13" dT="2023-10-08T16:15:33.03" personId="{93238EA4-A97E-43A0-A9D2-13620007081D}" id="{A97C5751-A0A0-46FF-B338-ED28055DCCFB}">
    <text>check</text>
  </threadedComment>
  <threadedComment ref="AH13" dT="2023-10-10T09:27:52.13" personId="{93238EA4-A97E-43A0-A9D2-13620007081D}" id="{EA96C473-839F-45BA-856D-5023C794E988}" parentId="{A97C5751-A0A0-46FF-B338-ED28055DCCFB}">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D35"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35" dT="2023-11-22T16:23:47.62" personId="{93238EA4-A97E-43A0-A9D2-13620007081D}" id="{A4AAAD58-3705-4279-97FB-E21CF11CD64D}" parentId="{C466A185-D23D-41F5-97F3-25F696544904}">
    <text>NO</text>
  </threadedComment>
  <threadedComment ref="Q36"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36" dT="2023-11-15T18:01:33.36" personId="{93238EA4-A97E-43A0-A9D2-13620007081D}" id="{1BF66659-1183-44A7-B215-7BA88CA48F5D}">
    <text>.99
.147</text>
  </threadedComment>
  <threadedComment ref="V36" dT="2023-11-15T18:01:23.10" personId="{93238EA4-A97E-43A0-A9D2-13620007081D}" id="{54E97819-B871-46FA-82AF-AFF242877D60}">
    <text>.99
.147</text>
  </threadedComment>
  <threadedComment ref="X36" dT="2023-11-15T21:17:53.85" personId="{93238EA4-A97E-43A0-A9D2-13620007081D}" id="{B84E0BEA-F15B-4BDF-A991-AE4231521BBD}">
    <text>.122
.128</text>
  </threadedComment>
  <threadedComment ref="Y36" dT="2023-11-15T18:14:03.25" personId="{93238EA4-A97E-43A0-A9D2-13620007081D}" id="{0CA0683F-3138-45E4-9C9C-ECD3E741D26C}">
    <text>.128</text>
  </threadedComment>
  <threadedComment ref="Z36" dT="2023-11-15T18:01:11.57" personId="{93238EA4-A97E-43A0-A9D2-13620007081D}" id="{196D9FD7-8CD7-4015-8E4C-2BB5379F2E6F}">
    <text>.99
.147</text>
  </threadedComment>
  <threadedComment ref="AA36" dT="2023-11-15T18:00:28.93" personId="{93238EA4-A97E-43A0-A9D2-13620007081D}" id="{C4DC86C9-EB48-439D-8A26-0FD3BEACD03F}">
    <text>.99
.121
.130-.134
.149
.157</text>
  </threadedComment>
  <threadedComment ref="AB36" dT="2023-11-15T18:19:55.45" personId="{93238EA4-A97E-43A0-A9D2-13620007081D}" id="{650FA1EE-E4E7-4F7C-BA5B-0A9776152DC0}">
    <text>.127
.148
v
.257</text>
  </threadedComment>
  <threadedComment ref="AC36" dT="2023-11-15T18:19:55.45" personId="{93238EA4-A97E-43A0-A9D2-13620007081D}" id="{FD196DFD-1218-415B-8818-437D63685F33}">
    <text>.127
.148
v
.257</text>
  </threadedComment>
  <threadedComment ref="AD36" dT="2023-11-15T18:19:55.45" personId="{93238EA4-A97E-43A0-A9D2-13620007081D}" id="{24916E09-6841-4EE6-AD3A-80B6C6C2A3FF}">
    <text>.127
.148
v
.257</text>
  </threadedComment>
  <threadedComment ref="AE36" dT="2023-11-15T20:57:29.98" personId="{93238EA4-A97E-43A0-A9D2-13620007081D}" id="{D784AC77-7234-46C3-98C1-D237D17D532C}">
    <text>.16
.98
.146
.149</text>
  </threadedComment>
  <threadedComment ref="AF36" dT="2023-11-15T21:01:52.60" personId="{93238EA4-A97E-43A0-A9D2-13620007081D}" id="{B0E727F0-EAD4-4B65-928A-CEA31E6DA2F0}">
    <text>.144
And Avanci is the pool</text>
  </threadedComment>
  <threadedComment ref="A37" dT="2023-11-24T15:17:20.56" personId="{93238EA4-A97E-43A0-A9D2-13620007081D}" id="{CCD5ECBC-950E-4A4B-9179-E50BAA44DAEC}">
    <text>Proportionality defense</text>
  </threadedComment>
  <threadedComment ref="A37" dT="2023-11-24T15:19:17.75" personId="{93238EA4-A97E-43A0-A9D2-13620007081D}" id="{26FF269A-D359-4032-87ED-EA9D71BFDBB5}" parentId="{CCD5ECBC-950E-4A4B-9179-E50BAA44DAEC}">
    <text>No FRAND defense</text>
  </threadedComment>
  <threadedComment ref="AI38" dT="2023-11-24T10:49:19.64" personId="{93238EA4-A97E-43A0-A9D2-13620007081D}" id="{8BC52B21-EEDA-4322-9C73-BD971CA90C6E}">
    <text>Apparently, upheld (same winners and losers)</text>
  </threadedComment>
</ThreadedComments>
</file>

<file path=xl/threadedComments/threadedComment6.xml><?xml version="1.0" encoding="utf-8"?>
<ThreadedComments xmlns="http://schemas.microsoft.com/office/spreadsheetml/2018/threadedcomments" xmlns:x="http://schemas.openxmlformats.org/spreadsheetml/2006/main">
  <threadedComment ref="D2" dT="2023-11-08T18:29:21.24" personId="{93238EA4-A97E-43A0-A9D2-13620007081D}" id="{915C8596-E41E-4387-8E41-48B4CECA1E37}">
    <text>.44</text>
  </threadedComment>
  <threadedComment ref="E2" dT="2023-11-08T18:29:21.24" personId="{93238EA4-A97E-43A0-A9D2-13620007081D}" id="{3395C403-A6C8-41D2-AB5A-F741B43E96BF}">
    <text>.44</text>
  </threadedComment>
  <threadedComment ref="C3" dT="2023-11-13T14:31:12.12" personId="{93238EA4-A97E-43A0-A9D2-13620007081D}" id="{0E04735B-33B8-4E0E-B8D1-14506178787A}">
    <text>23.07.2014
Different from the date of complaint/first action from DartsIP</text>
  </threadedComment>
  <threadedComment ref="D3" dT="2023-11-13T14:30:09.92" personId="{93238EA4-A97E-43A0-A9D2-13620007081D}" id="{763B9050-1C66-48CD-AB7A-62557A21D0CE}">
    <text>.20</text>
  </threadedComment>
  <threadedComment ref="E3" dT="2023-11-13T14:32:38.70" personId="{93238EA4-A97E-43A0-A9D2-13620007081D}" id="{BECAD737-68E4-4735-932A-FEE04AA10BC8}">
    <text>.20</text>
  </threadedComment>
  <threadedComment ref="D4" dT="2023-11-13T15:03:44.55" personId="{93238EA4-A97E-43A0-A9D2-13620007081D}" id="{D50EBEF3-37FB-49A7-B9E6-C4E30EF6E1C1}">
    <text>.21</text>
  </threadedComment>
  <threadedComment ref="E4" dT="2023-11-13T15:03:44.55" personId="{93238EA4-A97E-43A0-A9D2-13620007081D}" id="{693A7B7D-3EED-49ED-B964-91ACE6A62AA6}">
    <text>.21</text>
  </threadedComment>
  <threadedComment ref="D5" dT="2023-11-13T13:48:43.90" personId="{93238EA4-A97E-43A0-A9D2-13620007081D}" id="{BA51A8B7-AFBF-4420-8EA2-CD570887F189}">
    <text>.24</text>
  </threadedComment>
  <threadedComment ref="E5" dT="2023-11-13T15:18:57.72" personId="{93238EA4-A97E-43A0-A9D2-13620007081D}" id="{67A7B4F1-70FD-43F2-A444-748A472A8F32}">
    <text>.24</text>
  </threadedComment>
  <threadedComment ref="D6" dT="2023-11-13T13:48:43.90" personId="{93238EA4-A97E-43A0-A9D2-13620007081D}" id="{E9A1D032-71AA-4BCF-80E4-EB9DB7D0E351}">
    <text>.24</text>
  </threadedComment>
  <threadedComment ref="E6" dT="2023-11-13T15:18:57.72" personId="{93238EA4-A97E-43A0-A9D2-13620007081D}" id="{8FABD2C6-7024-4E69-801B-B96CA7D37A86}">
    <text>.24</text>
  </threadedComment>
  <threadedComment ref="D7" dT="2023-11-13T17:49:24.09" personId="{93238EA4-A97E-43A0-A9D2-13620007081D}" id="{E5F146BF-9424-420F-9FB5-33CD87769BAF}">
    <text>.27</text>
  </threadedComment>
  <threadedComment ref="E7" dT="2023-11-13T17:49:30.80" personId="{93238EA4-A97E-43A0-A9D2-13620007081D}" id="{C36E35AD-5F37-4244-BDDF-3ADA5A61E62F}">
    <text>.27</text>
  </threadedComment>
  <threadedComment ref="D8" dT="2023-11-13T18:59:11.18" personId="{93238EA4-A97E-43A0-A9D2-13620007081D}" id="{5476C880-FE11-4D72-B473-9A1E20B070EC}">
    <text>.17</text>
  </threadedComment>
  <threadedComment ref="E8" dT="2023-11-13T18:59:38.74" personId="{93238EA4-A97E-43A0-A9D2-13620007081D}" id="{6982DC61-58CD-4B05-AB4F-CC08DB37D970}">
    <text>.17</text>
  </threadedComment>
  <threadedComment ref="D9" dT="2023-11-13T20:08:48.22" personId="{93238EA4-A97E-43A0-A9D2-13620007081D}" id="{0117148B-DD4F-4DFC-A49B-3A31207ED12E}">
    <text>.61-.66</text>
  </threadedComment>
  <threadedComment ref="E9" dT="2023-11-13T20:08:48.22" personId="{93238EA4-A97E-43A0-A9D2-13620007081D}" id="{12AA17AF-AA30-452D-A08F-543FC090FECC}">
    <text>.61-.66</text>
  </threadedComment>
  <threadedComment ref="D10" dT="2023-11-14T12:15:03.78" personId="{93238EA4-A97E-43A0-A9D2-13620007081D}" id="{E4A45B6E-0736-4C6D-AF9D-DAE9FCBD2406}">
    <text>.66</text>
  </threadedComment>
  <threadedComment ref="E10" dT="2023-11-14T12:15:03.78" personId="{93238EA4-A97E-43A0-A9D2-13620007081D}" id="{761B2507-7450-46E8-93A9-0467D739DC63}">
    <text>.66</text>
  </threadedComment>
  <threadedComment ref="E10" dT="2023-11-14T12:15:40.56" personId="{93238EA4-A97E-43A0-A9D2-13620007081D}" id="{560B6E92-DF88-48DD-8C29-FB01A2FA6D2E}" parentId="{761B2507-7450-46E8-93A9-0467D739DC63}">
    <text>Mention of previous contacts in 2008-2009.</text>
  </threadedComment>
  <threadedComment ref="D11" dT="2023-11-14T12:38:27.33" personId="{93238EA4-A97E-43A0-A9D2-13620007081D}" id="{71E49223-894A-4DA7-A095-4A35F88EB49B}">
    <text>.39
.339</text>
  </threadedComment>
  <threadedComment ref="E11" dT="2023-11-14T12:38:27.33" personId="{93238EA4-A97E-43A0-A9D2-13620007081D}" id="{8E8AD0C9-EECE-4BFA-BFF3-6C26492A7E50}">
    <text>.39
.339</text>
  </threadedComment>
  <threadedComment ref="D12" dT="2023-11-14T13:09:11.98" personId="{93238EA4-A97E-43A0-A9D2-13620007081D}" id="{32534AD0-EF40-4E1B-9943-936F2B716867}">
    <text>.211</text>
  </threadedComment>
  <threadedComment ref="E12" dT="2023-11-14T13:09:41.54" personId="{93238EA4-A97E-43A0-A9D2-13620007081D}" id="{D041C9A6-D486-47B2-B26F-929E37E94E84}">
    <text>.211
Patent in suit, in 06.10.2015 other 7 patents have been mentioned.</text>
  </threadedComment>
  <threadedComment ref="D13" dT="2023-11-14T13:41:19.19" personId="{93238EA4-A97E-43A0-A9D2-13620007081D}" id="{06649A3B-121A-4E57-BAA3-960C880FFBF2}">
    <text>.96</text>
  </threadedComment>
  <threadedComment ref="E13" dT="2023-11-14T13:41:19.19" personId="{93238EA4-A97E-43A0-A9D2-13620007081D}" id="{1E133940-D3A3-4F32-A0B9-11C3CE31EF8B}">
    <text>.96</text>
  </threadedComment>
  <threadedComment ref="G13" dT="2023-10-10T09:25:17.72" personId="{93238EA4-A97E-43A0-A9D2-13620007081D}" id="{1852E21B-B729-4985-9B61-CA61D7CCF41B}">
    <text xml:space="preserve">Die Klägerin macht – nachdem die Parteien den Rechtsstreit übereinstimmend im Hinblick auf den ursprünglich auch geltend gemachten Unterlassungsanspruch teilweise für erledigt erklärt haben – </text>
  </threadedComment>
  <threadedComment ref="G13" dT="2023-11-22T16:37:59.82" personId="{93238EA4-A97E-43A0-A9D2-13620007081D}" id="{4DEA719D-2BD9-4031-875C-FF4C7BB3D4C3}" parentId="{1852E21B-B729-4985-9B61-CA61D7CCF41B}">
    <text>(patent expired, so no injunction issued; but court is explicit in that plaintiff had a right to request the injunction when it did)
Justus</text>
  </threadedComment>
  <threadedComment ref="D14" dT="2023-11-14T15:43:13.17" personId="{93238EA4-A97E-43A0-A9D2-13620007081D}" id="{E4EEB7C0-08E9-42A9-843D-C384749C21A3}">
    <text>.40
.759
Mention of a prior infringement notification in 2016</text>
  </threadedComment>
  <threadedComment ref="E14" dT="2023-11-14T15:43:13.17" personId="{93238EA4-A97E-43A0-A9D2-13620007081D}" id="{10ABD24C-0BB4-4257-B379-9619A034FD19}">
    <text>.40
.759
Mention of a prior infringement notification in 2016</text>
  </threadedComment>
  <threadedComment ref="D15" dT="2023-11-14T17:03:37.74" personId="{93238EA4-A97E-43A0-A9D2-13620007081D}" id="{7CF6C239-842A-440F-B24D-10163D2D0923}">
    <text xml:space="preserve">
.729
Mention of a prior infringement notification in 2016</text>
  </threadedComment>
  <threadedComment ref="E15" dT="2023-11-14T17:03:37.74" personId="{93238EA4-A97E-43A0-A9D2-13620007081D}" id="{C500AAE0-F245-4020-99E8-10E037695368}">
    <text xml:space="preserve">
.729
Mention of a prior infringement notification in 2016</text>
  </threadedComment>
  <threadedComment ref="S15" dT="2023-12-07T21:29:20.08" personId="{93238EA4-A97E-43A0-A9D2-13620007081D}" id="{F5B4C418-6555-4991-9A85-1B5E21D99A4A}">
    <text>.283?
.299?</text>
  </threadedComment>
  <threadedComment ref="D16" dT="2023-11-14T18:31:22.32" personId="{93238EA4-A97E-43A0-A9D2-13620007081D}" id="{FB896350-1B13-4AD2-9D95-1F8B0C342F58}">
    <text>.98</text>
  </threadedComment>
  <threadedComment ref="E16" dT="2023-11-14T18:31:22.32" personId="{93238EA4-A97E-43A0-A9D2-13620007081D}" id="{7BC21219-4714-48C3-9B36-D011F10A33B3}">
    <text>.98</text>
  </threadedComment>
  <threadedComment ref="S16" dT="2023-12-07T21:29:41.13" personId="{93238EA4-A97E-43A0-A9D2-13620007081D}" id="{3CB20C93-D1C7-49B4-8FA8-398322DE739F}">
    <text>.325?
.341?</text>
  </threadedComment>
  <threadedComment ref="D17" dT="2023-11-15T11:45:39.42" personId="{93238EA4-A97E-43A0-A9D2-13620007081D}" id="{8521DECB-5132-4EA1-97C1-66A1A9D290A0}">
    <text>It only says March 2016
.8</text>
  </threadedComment>
  <threadedComment ref="E17" dT="2023-11-15T11:46:40.75" personId="{93238EA4-A97E-43A0-A9D2-13620007081D}" id="{458569F3-D7A3-493B-890F-FBBC8CD52F48}">
    <text>.8</text>
  </threadedComment>
  <threadedComment ref="G17" dT="2023-10-10T09:21:19.54" personId="{93238EA4-A97E-43A0-A9D2-13620007081D}" id="{F8E49C8F-5B29-495D-9638-BA3AEE6F85EF}">
    <text>Das Verfahren wird ausgesetzt.</text>
  </threadedComment>
  <threadedComment ref="G17" dT="2023-11-22T16:38:27.43" personId="{93238EA4-A97E-43A0-A9D2-13620007081D}" id="{E0DB42B6-E6BD-416C-BB82-C0825A66061B}" parentId="{F8E49C8F-5B29-495D-9638-BA3AEE6F85EF}">
    <text>{referred to CJEU, settled before decision}
Justus</text>
  </threadedComment>
  <threadedComment ref="D18" dT="2023-11-22T13:01:49.88" personId="{93238EA4-A97E-43A0-A9D2-13620007081D}" id="{6BD58535-9CA4-4761-A440-7FF6E6580A9B}">
    <text>.11</text>
  </threadedComment>
  <threadedComment ref="E18" dT="2023-11-22T13:01:49.88" personId="{93238EA4-A97E-43A0-A9D2-13620007081D}" id="{E19EC1A0-C73B-4067-904E-FD5F682BEB55}">
    <text>.11</text>
  </threadedComment>
  <threadedComment ref="E18" dT="2023-11-22T13:19:27.43" personId="{93238EA4-A97E-43A0-A9D2-13620007081D}" id="{CB40483B-5EC1-4513-BFDA-CF4FB7D90A58}" parentId="{E19EC1A0-C73B-4067-904E-FD5F682BEB55}">
    <text xml:space="preserve">.131
13.04.2015 </text>
  </threadedComment>
  <threadedComment ref="D19" dT="2023-11-22T14:20:41.23" personId="{93238EA4-A97E-43A0-A9D2-13620007081D}" id="{C0C9DBE3-A10E-4554-9BBA-A1C927B80660}">
    <text>.16</text>
  </threadedComment>
  <threadedComment ref="E19" dT="2023-11-22T14:20:41.23" personId="{93238EA4-A97E-43A0-A9D2-13620007081D}" id="{9DEEC312-EF3E-4F40-904B-4437D3612902}">
    <text>.16</text>
  </threadedComment>
  <threadedComment ref="D20" dT="2023-11-22T15:31:17.69" personId="{93238EA4-A97E-43A0-A9D2-13620007081D}" id="{16E3E0BE-AE5A-41F6-96B1-BF399E3B9BD3}">
    <text>01.06.2015 Seite 6. (Pools Treffen, not on the 01 of June, just mention of Juni)
01.02.2016 Seite 6. (Pools Brief)
01.06.2016 Seite 5. (Pool)
23.06.2016 Seite 6. (bilaterale Lizenz)</text>
  </threadedComment>
  <threadedComment ref="E20" dT="2023-11-22T15:31:17.69" personId="{93238EA4-A97E-43A0-A9D2-13620007081D}" id="{C8B05CFF-46CB-47D8-BD80-C716F072FDAB}">
    <text xml:space="preserve">Seite 5. (Pool)
23.06.2016 Seite 6. (bilaterale Lizenz)
</text>
  </threadedComment>
  <threadedComment ref="D21" dT="2023-11-22T18:03:10.89" personId="{93238EA4-A97E-43A0-A9D2-13620007081D}" id="{F591BC7A-C8E6-4A39-B759-5213AC171A50}">
    <text>Seite 5.</text>
  </threadedComment>
  <threadedComment ref="E21" dT="2023-11-22T18:04:34.33" personId="{93238EA4-A97E-43A0-A9D2-13620007081D}" id="{B9C3848F-05A1-475C-9024-BACC9E80C470}">
    <text>Seite 5.
29.02.2016 Seite 25, a).</text>
  </threadedComment>
  <threadedComment ref="D22" dT="2023-11-22T23:09:36.93" personId="{93238EA4-A97E-43A0-A9D2-13620007081D}" id="{E5F2869B-B065-411C-9BD6-EF1B21303837}">
    <text>6.</text>
  </threadedComment>
  <threadedComment ref="E22" dT="2023-11-22T23:10:05.56" personId="{93238EA4-A97E-43A0-A9D2-13620007081D}" id="{19330A72-AC6E-4A4E-9075-6FE94FF8B5DE}">
    <text>6.</text>
  </threadedComment>
  <threadedComment ref="D23" dT="2023-11-23T12:38:10.29" personId="{93238EA4-A97E-43A0-A9D2-13620007081D}" id="{68727E6D-2090-42B3-8646-B201A7504303}">
    <text>.6</text>
  </threadedComment>
  <threadedComment ref="E23" dT="2023-11-22T23:10:05.56" personId="{93238EA4-A97E-43A0-A9D2-13620007081D}" id="{CF2A2DC3-3287-4CDD-8740-FCE647D8BB90}">
    <text>6.</text>
  </threadedComment>
  <threadedComment ref="D24" dT="2023-11-23T17:09:44.87" personId="{93238EA4-A97E-43A0-A9D2-13620007081D}" id="{02B3F433-F9CC-4AB0-94DD-84A62A4E432A}">
    <text>Seite 5.</text>
  </threadedComment>
  <threadedComment ref="E24" dT="2023-11-23T17:11:12.49" personId="{93238EA4-A97E-43A0-A9D2-13620007081D}" id="{47447F0E-76DA-4A8E-84A7-66D536B5EF9B}">
    <text>Seite 5.</text>
  </threadedComment>
  <threadedComment ref="D25" dT="2023-11-23T17:06:18.97" personId="{93238EA4-A97E-43A0-A9D2-13620007081D}" id="{A89ED7EA-8957-4A25-8188-ADEC5B313311}">
    <text>Seite 8.</text>
  </threadedComment>
  <threadedComment ref="E25" dT="2023-11-23T17:32:02.77" personId="{93238EA4-A97E-43A0-A9D2-13620007081D}" id="{B25351C2-4E58-44A5-A2D4-6417AC76ECFD}">
    <text>Seite 8.</text>
  </threadedComment>
  <threadedComment ref="G25" dT="2023-10-10T10:02:41.27" personId="{93238EA4-A97E-43A0-A9D2-13620007081D}" id="{84C96787-C341-404E-B21E-94B6BCA2A6B9}">
    <text xml:space="preserve">BEIM FRAND-EINWAND </text>
  </threadedComment>
  <threadedComment ref="G25" dT="2023-10-10T10:03:36.65" personId="{93238EA4-A97E-43A0-A9D2-13620007081D}" id="{51AE0576-EF37-45EC-A802-00F7B9DAA0D1}" parentId="{84C96787-C341-404E-B21E-94B6BCA2A6B9}">
    <text>(NO Kather version)</text>
  </threadedComment>
  <threadedComment ref="D26" dT="2023-11-23T18:35:20.41" personId="{93238EA4-A97E-43A0-A9D2-13620007081D}" id="{FE5D4280-90A0-48AD-A63A-A9BB9BCD9416}">
    <text>Seite 4, 1.</text>
  </threadedComment>
  <threadedComment ref="E26" dT="2023-11-23T18:35:20.41" personId="{93238EA4-A97E-43A0-A9D2-13620007081D}" id="{7CE24CC6-FB6A-444C-9C44-92E3E3ADB890}">
    <text>Seite 4, 1.
No mention of the date of the offer, two dates for contacts
29.03.2016 
06.03.2018</text>
  </threadedComment>
  <threadedComment ref="G26" dT="2023-10-10T10:11:20.41" personId="{93238EA4-A97E-43A0-A9D2-13620007081D}" id="{7712B981-1EA6-4C02-A3E0-C3D4D5449D7F}">
    <text>Mentions of Patent Holder position and maybe FRAND-Einwand</text>
  </threadedComment>
  <threadedComment ref="G26" dT="2023-10-10T10:11:32.50" personId="{93238EA4-A97E-43A0-A9D2-13620007081D}" id="{A7443187-1036-4E6B-A064-FE004DC70856}" parentId="{7712B981-1EA6-4C02-A3E0-C3D4D5449D7F}">
    <text>[…] mangels Lizenzwilligkeit kein FRAND-Einwand zu</text>
  </threadedComment>
  <threadedComment ref="G26" dT="2023-10-10T10:11:49.37" personId="{93238EA4-A97E-43A0-A9D2-13620007081D}" id="{0CD3926F-9892-4736-9ACD-815B1286ADE1}" parentId="{7712B981-1EA6-4C02-A3E0-C3D4D5449D7F}">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7" dT="2023-11-22T18:56:07.05" personId="{93238EA4-A97E-43A0-A9D2-13620007081D}" id="{3C97387B-933E-44C2-BD9C-E7DC53C077C1}">
    <text>Seite 14.
Seite 47, II. 1.
Seite 48, b).</text>
  </threadedComment>
  <threadedComment ref="E27" dT="2023-11-22T18:57:43.88" personId="{93238EA4-A97E-43A0-A9D2-13620007081D}" id="{BD325293-B1EF-4B36-AD71-293350ACBBE5}">
    <text>Seite 14.</text>
  </threadedComment>
  <threadedComment ref="B28" dT="2023-11-16T17:51:44.28" personId="{93238EA4-A97E-43A0-A9D2-13620007081D}" id="{7A298A1F-B6E2-46B6-BF5D-81253E416DB0}">
    <text>09.09.2021</text>
  </threadedComment>
  <threadedComment ref="D28" dT="2023-11-16T12:00:24.84" personId="{93238EA4-A97E-43A0-A9D2-13620007081D}" id="{3BF734DA-B0A4-46D8-A28D-1F3C30D3EE53}">
    <text>.113-.115</text>
  </threadedComment>
  <threadedComment ref="E28" dT="2023-11-16T12:07:39.59" personId="{93238EA4-A97E-43A0-A9D2-13620007081D}" id="{872E5925-C8D7-4D1B-9D34-F985AFA6EBEF}">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G30" dT="2023-10-10T13:12:12.95" personId="{93238EA4-A97E-43A0-A9D2-13620007081D}" id="{006F4B02-D13F-49E1-B4B4-709BD0164C8E}">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G30" dT="2023-10-10T13:13:28.06" personId="{93238EA4-A97E-43A0-A9D2-13620007081D}" id="{C491A977-2B8A-4068-AE83-EE8233DCF6FC}" parentId="{006F4B02-D13F-49E1-B4B4-709BD0164C8E}">
    <text xml:space="preserve">Die Klage ist als derzeit unbegrundet abzuweisen, soweit die Klagerin von der Beklagten Unterlassung, Ruckruf und Entfernung aus den Vertriebswegen sowie die Vernichtung patentverletzender Produkte </text>
  </threadedComment>
  <threadedComment ref="D31" dT="2023-11-16T21:19:44.20" personId="{93238EA4-A97E-43A0-A9D2-13620007081D}" id="{74D6B7BF-2AF8-45F1-AC84-376BA37322A8}">
    <text>Letter of July 2014 (after the complaint)
.215</text>
  </threadedComment>
  <threadedComment ref="G31" dT="2023-11-17T23:30:02.76" personId="{93238EA4-A97E-43A0-A9D2-13620007081D}" id="{5C138281-CC73-4742-99EF-CD21E5DCA6C1}">
    <text>I am NOT sure why I found it to be an injunction. While studying it more, I would say it may be a NO.</text>
  </threadedComment>
  <threadedComment ref="G31" dT="2023-11-20T13:55:27.31" personId="{93238EA4-A97E-43A0-A9D2-13620007081D}" id="{AB944733-D294-4DBF-BC6E-644ABB4BE9BC}" parentId="{5C138281-CC73-4742-99EF-CD21E5DCA6C1}">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G31" dT="2023-11-22T16:25:26.97" personId="{93238EA4-A97E-43A0-A9D2-13620007081D}" id="{2AEA249F-CDC7-4F50-991E-70FDD8572F44}" parentId="{5C138281-CC73-4742-99EF-CD21E5DCA6C1}">
    <text>Justus said YES</text>
  </threadedComment>
  <threadedComment ref="D33" dT="2023-11-16T19:11:58.68" personId="{93238EA4-A97E-43A0-A9D2-13620007081D}" id="{1747A55B-506F-43B9-83DF-8F10107F57F9}">
    <text>A lot of mentions of 27.09.2019.
Could that be the date of first contact?</text>
  </threadedComment>
  <threadedComment ref="E33" dT="2023-11-16T19:11:58.68" personId="{93238EA4-A97E-43A0-A9D2-13620007081D}" id="{B8C305FF-F59A-414A-94B4-2E8B2CD52A8B}">
    <text>A lot of mentions of 27.09.2019.
Could that be the date of first contact?</text>
  </threadedComment>
  <threadedComment ref="D34" dT="2023-11-16T19:29:24.32" personId="{93238EA4-A97E-43A0-A9D2-13620007081D}" id="{02A0BBB1-1689-456B-9AFD-D888E55122B9}">
    <text>.218
Does not say first of March, just March 2021.</text>
  </threadedComment>
  <threadedComment ref="D34" dT="2023-11-16T19:31:49.27" personId="{93238EA4-A97E-43A0-A9D2-13620007081D}" id="{334E3178-5D33-47CC-A781-922022BB5C79}" parentId="{02A0BBB1-1689-456B-9AFD-D888E55122B9}">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E34" dT="2023-11-16T19:29:24.32" personId="{93238EA4-A97E-43A0-A9D2-13620007081D}" id="{D67CA643-2A2D-41F9-8C6C-0A63F3EBE807}">
    <text>.218
Does not say first of March, just March 2021.</text>
  </threadedComment>
  <threadedComment ref="E34" dT="2023-11-16T19:31:49.27" personId="{93238EA4-A97E-43A0-A9D2-13620007081D}" id="{13C8B0C8-E729-44FE-AC75-2A94EA59DF0D}" parentId="{D67CA643-2A2D-41F9-8C6C-0A63F3EBE807}">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D35" dT="2023-11-15T18:01:33.36" personId="{93238EA4-A97E-43A0-A9D2-13620007081D}" id="{AB691DF3-882A-4F92-80DD-83766A725640}">
    <text>.99
.147</text>
  </threadedComment>
  <threadedComment ref="E35" dT="2023-11-15T18:01:23.10" personId="{93238EA4-A97E-43A0-A9D2-13620007081D}" id="{A2C9F3B7-9635-4501-B35A-47C3F1533436}">
    <text>.99
.147</text>
  </threadedComment>
  <threadedComment ref="D36" dT="2023-11-15T12:28:19.42" personId="{93238EA4-A97E-43A0-A9D2-13620007081D}" id="{32773D98-9693-427A-89E3-FC968A5FD870}">
    <text>.22</text>
  </threadedComment>
  <threadedComment ref="E36" dT="2023-11-15T12:28:19.42" personId="{93238EA4-A97E-43A0-A9D2-13620007081D}" id="{8032DBE2-605A-4A16-9786-8BB93B4E82F3}">
    <text>.22</text>
  </threadedComment>
  <threadedComment ref="D37" dT="2023-11-15T13:05:07.38" personId="{93238EA4-A97E-43A0-A9D2-13620007081D}" id="{85F5BFDF-6328-4103-A4F1-CF925C833CD7}">
    <text>.23</text>
  </threadedComment>
  <threadedComment ref="E37" dT="2023-11-15T13:05:07.38" personId="{93238EA4-A97E-43A0-A9D2-13620007081D}" id="{882C2178-B17C-495E-B298-7C30C67344EB}">
    <text>.23</text>
  </threadedComment>
  <threadedComment ref="C38" dT="2023-11-15T17:09:19.58" personId="{93238EA4-A97E-43A0-A9D2-13620007081D}" id="{2BB44D05-7928-42AA-9891-DB9F7FAA570A}">
    <text>.15</text>
  </threadedComment>
  <threadedComment ref="G38" dT="2023-10-10T18:56:17.06" personId="{93238EA4-A97E-43A0-A9D2-13620007081D}" id="{D80FD525-4C76-4366-B16D-541057A807E4}">
    <text>.17
Der Antrag auf Erlass einer einstweiligen Verfügung ist zulässig (I.) und begründet (II). 
.29
.41</text>
  </threadedComment>
  <threadedComment ref="G38" dT="2023-10-10T18:56:31.43" personId="{93238EA4-A97E-43A0-A9D2-13620007081D}" id="{2CA04258-424B-4F45-B712-974C01E42EAB}" parentId="{D80FD525-4C76-4366-B16D-541057A807E4}">
    <text>Bei den in § 33 Abs. 1 GWB geregelten Unterlassungs- und Beseitigungsansprüchen handelt
es sich um Ansprüche aus unerlaubter Handlung.</text>
  </threadedComment>
  <threadedComment ref="G38" dT="2023-11-22T16:27:12.97" personId="{93238EA4-A97E-43A0-A9D2-13620007081D}" id="{2D596949-51C4-4D9F-8003-CBC7AE9BA94D}" parentId="{D80FD525-4C76-4366-B16D-541057A807E4}">
    <text>NO {the order here is reversed; the implementer successfully sues for a customs ban to be lifted}
Justus</text>
  </threadedComment>
  <threadedComment ref="G39" dT="2023-11-22T16:29:12.68" personId="{93238EA4-A97E-43A0-A9D2-13620007081D}" id="{9CC90AED-5BF4-4FE0-89F1-98941AA76A46}">
    <text>{because retracted}
No?
Justus</text>
  </threadedComment>
  <threadedComment ref="G39" dT="2023-11-30T19:27:39.81" personId="{93238EA4-A97E-43A0-A9D2-13620007081D}" id="{E04CD4C9-E342-49CD-A4D5-378A3BD4EC6E}" parentId="{9CC90AED-5BF4-4FE0-89F1-98941AA76A46}">
    <text>Changed to No for the graphs</text>
  </threadedComment>
  <threadedComment ref="B40" dT="2023-12-01T10:27:24.20" personId="{93238EA4-A97E-43A0-A9D2-13620007081D}" id="{66CFBA34-B140-45BA-A278-45EF30C9B242}">
    <text>Picked the latest date</text>
  </threadedComment>
  <threadedComment ref="D40" dT="2023-11-20T18:57:14.65" personId="{93238EA4-A97E-43A0-A9D2-13620007081D}" id="{E83A15CB-CD66-48EB-A3A5-63A0D540C133}">
    <text>Lawsuit notification, most probably</text>
  </threadedComment>
  <threadedComment ref="E40" dT="2023-11-20T19:01:12.02" personId="{93238EA4-A97E-43A0-A9D2-13620007081D}" id="{B912E535-D675-48D4-938C-671D0D68D93D}">
    <text>Seite 38, 4. a)</text>
  </threadedComment>
  <threadedComment ref="E40" dT="2023-11-20T19:03:20.38" personId="{93238EA4-A97E-43A0-A9D2-13620007081D}" id="{C251EABC-8505-4098-B957-62025FD4117A}" parentId="{B912E535-D675-48D4-938C-671D0D68D93D}">
    <text>Defendant's counter offer: 30.05.2014</text>
  </threadedComment>
  <threadedComment ref="B41" dT="2023-12-01T10:27:34.63" personId="{93238EA4-A97E-43A0-A9D2-13620007081D}" id="{44250ED0-8A00-4FC3-9168-14DEB552F6D0}">
    <text>Picked the latest date</text>
  </threadedComment>
  <threadedComment ref="D41" dT="2023-11-20T18:57:14.65" personId="{93238EA4-A97E-43A0-A9D2-13620007081D}" id="{763B3EEE-5A12-49BF-A104-4CB84D4C71E4}">
    <text>Lawsuit notification, most probably</text>
  </threadedComment>
  <threadedComment ref="E41" dT="2023-11-20T19:11:39.29" personId="{93238EA4-A97E-43A0-A9D2-13620007081D}" id="{1C6EF3DC-1E7E-4F12-B1D4-9A0BC79AF2B0}">
    <text>Seite 6
Seite 35, d).</text>
  </threadedComment>
  <threadedComment ref="D42" dT="2023-11-21T13:11:58.83" personId="{93238EA4-A97E-43A0-A9D2-13620007081D}" id="{EC739C55-BEC4-420D-9CF9-5D02B9C0F2E6}">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E42" dT="2023-11-21T13:16:21.96" personId="{93238EA4-A97E-43A0-A9D2-13620007081D}" id="{BE39797D-9EDE-4971-A61C-550E959348D8}">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D43" dT="2023-11-21T13:18:58.25" personId="{93238EA4-A97E-43A0-A9D2-13620007081D}" id="{A9C8E43D-0EB6-4E54-9715-D27B884A12A8}">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E43" dT="2023-11-21T13:19:41.52" personId="{93238EA4-A97E-43A0-A9D2-13620007081D}" id="{9B5D5CF9-547F-476A-9D08-8B9184A81EDE}">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D44" dT="2023-11-21T13:29:29.87" personId="{93238EA4-A97E-43A0-A9D2-13620007081D}" id="{891FF218-914C-4630-B497-D077FF40FBAC}">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E44" dT="2023-11-21T13:42:40.43" personId="{93238EA4-A97E-43A0-A9D2-13620007081D}" id="{F51A08C3-02FA-44BE-BE5B-F98B32CB57D1}">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D45" dT="2023-11-21T13:55:46.11" personId="{93238EA4-A97E-43A0-A9D2-13620007081D}" id="{FAB4F2B2-6683-457D-A663-963E75B2AA62}">
    <text xml:space="preserve">Seite 6.
Not 01 of Juni.
Im Juni 2009 übermittelte die Klägerin an A eine Liste mit Patenten, die nach ihrer Auffassung für den UMTS-Standard essentiell sind, darunter auch das Klagepatent. </text>
  </threadedComment>
  <threadedComment ref="E45" dT="2023-11-21T13:56:12.61" personId="{93238EA4-A97E-43A0-A9D2-13620007081D}" id="{76291632-17B6-4565-A576-755EA8F58626}">
    <text>Seite 6.
Mit Email vom 17. September 2015 übersandte die Klägerin einen Lizenzvertragsentwurf an A gemeinsam mit einer aktualisierten Übersicht über ihr UMTS-/LTE_x0002_Patentportfolio nebst Claim-charts.</text>
  </threadedComment>
  <threadedComment ref="G45" dT="2023-11-21T18:50:28.28" personId="{93238EA4-A97E-43A0-A9D2-13620007081D}" id="{2535AC86-5A9E-46DC-9893-8CB51B98FEDF}">
    <text>Siete 33, VI.</text>
  </threadedComment>
  <threadedComment ref="D46" dT="2023-11-21T20:16:10.48" personId="{93238EA4-A97E-43A0-A9D2-13620007081D}" id="{C2606CB1-2525-4408-8991-C28F2D26864F}">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E46" dT="2023-11-21T20:17:18.28" personId="{93238EA4-A97E-43A0-A9D2-13620007081D}" id="{E7262A19-F888-4AAF-AC71-597A26410877}">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s>
</file>

<file path=xl/threadedComments/threadedComment7.xml><?xml version="1.0" encoding="utf-8"?>
<ThreadedComments xmlns="http://schemas.microsoft.com/office/spreadsheetml/2018/threadedcomments" xmlns:x="http://schemas.openxmlformats.org/spreadsheetml/2006/main">
  <threadedComment ref="F3" dT="2023-11-13T14:31:12.12" personId="{93238EA4-A97E-43A0-A9D2-13620007081D}" id="{8E633B5C-1C42-4F1B-9236-FC2DEABD44FD}">
    <text>23.07.2014
Different from the date of complaint/first action from DartsIP</text>
  </threadedComment>
  <threadedComment ref="J4" dT="2023-11-27T13:40:07.66" personId="{93238EA4-A97E-43A0-A9D2-13620007081D}" id="{801AD1A9-177B-40E0-AD38-0B06EEFFC327}">
    <text xml:space="preserve">INEFFECTIVE!
Die Entscheidung ist wirkungslos. Die Klage wurde am 28.12.2018 zurückgenommen. </text>
  </threadedComment>
  <threadedComment ref="C13" dT="2023-10-10T09:25:17.72" personId="{93238EA4-A97E-43A0-A9D2-13620007081D}" id="{22532E8F-4965-4084-8274-AD038F574ADC}">
    <text xml:space="preserve">Die Klägerin macht – nachdem die Parteien den Rechtsstreit übereinstimmend im Hinblick auf den ursprünglich auch geltend gemachten Unterlassungsanspruch teilweise für erledigt erklärt haben – </text>
  </threadedComment>
  <threadedComment ref="C13" dT="2023-11-22T16:37:59.82" personId="{93238EA4-A97E-43A0-A9D2-13620007081D}" id="{3369CF57-9740-4DF6-93CA-7D6BE9B6D348}" parentId="{22532E8F-4965-4084-8274-AD038F574ADC}">
    <text>(patent expired, so no injunction issued; but court is explicit in that plaintiff had a right to request the injunction when it did)
Justus</text>
  </threadedComment>
  <threadedComment ref="M14" dT="2023-11-29T14:54:02.24" personId="{93238EA4-A97E-43A0-A9D2-13620007081D}" id="{2C66D17F-3173-4EF2-95E5-5666F6F48FCB}">
    <text>Darts</text>
  </threadedComment>
  <threadedComment ref="M14" dT="2023-11-29T14:54:37.64" personId="{93238EA4-A97E-43A0-A9D2-13620007081D}" id="{8AC24868-1AD7-4563-8061-51C21E1EDD3F}" parentId="{2C66D17F-3173-4EF2-95E5-5666F6F48FCB}">
    <text>Could be an old one, in Darts there is also a mention of 28.01.2021</text>
  </threadedComment>
  <threadedComment ref="M15" dT="2023-11-29T14:55:40.11" personId="{93238EA4-A97E-43A0-A9D2-13620007081D}" id="{24162456-A381-4AA4-A3C0-1C12F826CCE0}">
    <text>Darts</text>
  </threadedComment>
  <threadedComment ref="M15" dT="2023-11-29T14:56:18.84" personId="{93238EA4-A97E-43A0-A9D2-13620007081D}" id="{12D467DF-BECD-457C-8FBB-4AC36F40DC4D}" parentId="{24162456-A381-4AA4-A3C0-1C12F826CCE0}">
    <text>Could be an old one, in Darts there is also a mention of 28.01.2021</text>
  </threadedComment>
  <threadedComment ref="C17" dT="2023-10-10T09:21:19.54" personId="{93238EA4-A97E-43A0-A9D2-13620007081D}" id="{E123C8EE-C14B-47A3-9D0C-08926D3846FB}">
    <text>Das Verfahren wird ausgesetzt.</text>
  </threadedComment>
  <threadedComment ref="C17" dT="2023-11-22T16:38:27.43" personId="{93238EA4-A97E-43A0-A9D2-13620007081D}" id="{398409EF-B2B0-41EC-A2AF-D8B2ADF0F02F}" parentId="{E123C8EE-C14B-47A3-9D0C-08926D3846FB}">
    <text>{referred to CJEU, settled before decision}
Justus</text>
  </threadedComment>
  <threadedComment ref="J17" dT="2023-11-27T14:20:38.51" personId="{93238EA4-A97E-43A0-A9D2-13620007081D}" id="{19DA943C-AD8E-4813-953F-B53A830117C8}">
    <text>They specify some claims (1, 2, 4, 6 &amp; 9)</text>
  </threadedComment>
  <threadedComment ref="M17" dT="2023-11-29T15:10:26.99" personId="{93238EA4-A97E-43A0-A9D2-13620007081D}" id="{FD71348B-4618-475B-86A6-602EE0B4C818}">
    <text>In Darts they mention
22.10.2019</text>
  </threadedComment>
  <threadedComment ref="M21" dT="2023-11-29T15:13:01.72" personId="{93238EA4-A97E-43A0-A9D2-13620007081D}" id="{8FD144BD-4B52-47DE-B7D7-75FD423454F7}">
    <text>In Darts they mention
29.05.2016</text>
  </threadedComment>
  <threadedComment ref="J22" dT="2023-11-27T14:20:38.51" personId="{93238EA4-A97E-43A0-A9D2-13620007081D}" id="{02FA45F6-CD9A-4F81-AC8F-376B560843E2}">
    <text>They specify some claims (1, 2, 10-14)</text>
  </threadedComment>
  <threadedComment ref="M22" dT="2023-11-29T15:14:37.93" personId="{93238EA4-A97E-43A0-A9D2-13620007081D}" id="{4899C66E-0478-47FF-AACF-4EBA30BCEEEE}">
    <text>Darts</text>
  </threadedComment>
  <threadedComment ref="M23" dT="2023-11-29T15:16:21.34" personId="{93238EA4-A97E-43A0-A9D2-13620007081D}" id="{5F21B82A-7527-498D-9F14-302396D7093C}">
    <text>Darts</text>
  </threadedComment>
  <threadedComment ref="J24" dT="2023-11-27T14:48:05.06" personId="{93238EA4-A97E-43A0-A9D2-13620007081D}" id="{5CB4F4A8-CA36-4923-9BC4-50EE9ABE9794}">
    <text xml:space="preserve">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text>
  </threadedComment>
  <threadedComment ref="J24" dT="2023-11-27T14:48:24.04" personId="{93238EA4-A97E-43A0-A9D2-13620007081D}" id="{C5EF1D2D-5792-4B37-A922-F1575B6AB53A}" parentId="{5CB4F4A8-CA36-4923-9BC4-50EE9ABE9794}">
    <text xml:space="preserve">Anlagenkonvolut der Entgegenhaltungen aus dem parallelen Nichtigkeitsverfahren zu EP 1 062 744 </text>
  </threadedComment>
  <threadedComment ref="J24" dT="2023-11-27T14:49:55.42" personId="{93238EA4-A97E-43A0-A9D2-13620007081D}" id="{733C85EF-1901-4F53-B74D-E5A5749B8B27}" parentId="{5CB4F4A8-CA36-4923-9BC4-50EE9ABE9794}">
    <text>5 Ni 23/10(EP)</text>
  </threadedComment>
  <threadedComment ref="C25" dT="2023-10-10T10:02:41.27" personId="{93238EA4-A97E-43A0-A9D2-13620007081D}" id="{43861C12-820F-4F15-8295-BBFF43E85D83}">
    <text xml:space="preserve">BEIM FRAND-EINWAND </text>
  </threadedComment>
  <threadedComment ref="C25" dT="2023-10-10T10:03:36.65" personId="{93238EA4-A97E-43A0-A9D2-13620007081D}" id="{15DE6CA2-3124-4AC3-988D-DB017E30A8FA}" parentId="{43861C12-820F-4F15-8295-BBFF43E85D83}">
    <text>(NO Kather version)</text>
  </threadedComment>
  <threadedComment ref="M25" dT="2023-11-29T15:13:01.72" personId="{93238EA4-A97E-43A0-A9D2-13620007081D}" id="{212A0A85-4B47-46E4-9B3C-9D2AAD281887}">
    <text>In Darts they mention
29.05.2016</text>
  </threadedComment>
  <threadedComment ref="C26" dT="2023-10-10T10:11:20.41" personId="{93238EA4-A97E-43A0-A9D2-13620007081D}" id="{B50250ED-C003-4651-9E94-4973C7FD2A1A}">
    <text>Mentions of Patent Holder position and maybe FRAND-Einwand</text>
  </threadedComment>
  <threadedComment ref="C26" dT="2023-10-10T10:11:32.50" personId="{93238EA4-A97E-43A0-A9D2-13620007081D}" id="{A647F438-2E18-4601-BABA-80F991ACE776}" parentId="{B50250ED-C003-4651-9E94-4973C7FD2A1A}">
    <text>[…] mangels Lizenzwilligkeit kein FRAND-Einwand zu</text>
  </threadedComment>
  <threadedComment ref="C26" dT="2023-10-10T10:11:49.37" personId="{93238EA4-A97E-43A0-A9D2-13620007081D}" id="{6D745447-E2D8-4E9E-BA8F-A12880CA6E11}" parentId="{B50250ED-C003-4651-9E94-4973C7FD2A1A}">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8" dT="2023-11-16T17:51:44.28" personId="{93238EA4-A97E-43A0-A9D2-13620007081D}" id="{71992B9E-6C09-4880-8932-8FEA3339DA36}">
    <text>09.09.2021</text>
  </threadedComment>
  <threadedComment ref="J28" dT="2023-11-27T14:20:38.51" personId="{93238EA4-A97E-43A0-A9D2-13620007081D}" id="{CFD260EE-C781-45B4-AD06-A0A3E03EB10F}">
    <text>They specify some claims (1-4, 7-9, 10-17)</text>
  </threadedComment>
  <threadedComment ref="M28" dT="2023-11-29T15:21:03.09" personId="{93238EA4-A97E-43A0-A9D2-13620007081D}" id="{32A4E8BD-1CB6-44E5-803E-241AB255F227}">
    <text>Darts</text>
  </threadedComment>
  <threadedComment ref="C30" dT="2023-10-10T13:12:12.95" personId="{93238EA4-A97E-43A0-A9D2-13620007081D}" id="{E6237893-CF32-453C-9100-A8B11AAB7751}">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C30" dT="2023-10-10T13:13:28.06" personId="{93238EA4-A97E-43A0-A9D2-13620007081D}" id="{BA7B7437-F772-4838-830B-F0D912216B3B}" parentId="{E6237893-CF32-453C-9100-A8B11AAB7751}">
    <text xml:space="preserve">Die Klage ist als derzeit unbegrundet abzuweisen, soweit die Klagerin von der Beklagten Unterlassung, Ruckruf und Entfernung aus den Vertriebswegen sowie die Vernichtung patentverletzender Produkte </text>
  </threadedComment>
  <threadedComment ref="J30" dT="2023-11-27T14:20:38.51" personId="{93238EA4-A97E-43A0-A9D2-13620007081D}" id="{FC9964B1-98B5-409A-A252-D3449EBF12AF}">
    <text>They specify some claims (1, 9, 10 &amp; 19)</text>
  </threadedComment>
  <threadedComment ref="C31" dT="2023-11-17T23:30:02.76" personId="{93238EA4-A97E-43A0-A9D2-13620007081D}" id="{359E0825-BACC-4B31-B549-193B2395B33A}">
    <text>I am NOT sure why I found it to be an injunction. While studying it more, I would say it may be a NO.</text>
  </threadedComment>
  <threadedComment ref="C31" dT="2023-11-20T13:55:27.31" personId="{93238EA4-A97E-43A0-A9D2-13620007081D}" id="{7C389D4F-8351-484C-91B7-74ED9D188BC2}" parentId="{359E0825-BACC-4B31-B549-193B2395B33A}">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C31" dT="2023-11-22T16:25:26.97" personId="{93238EA4-A97E-43A0-A9D2-13620007081D}" id="{E0F36961-A6FB-47C7-878A-F9D4F5C32DCA}" parentId="{359E0825-BACC-4B31-B549-193B2395B33A}">
    <text>Justus said YES</text>
  </threadedComment>
  <threadedComment ref="M33" dT="2023-11-29T15:22:00.91" personId="{93238EA4-A97E-43A0-A9D2-13620007081D}" id="{EE7D0CB3-88B4-4E46-B3E0-D9BAA328F0C7}">
    <text>Darts</text>
  </threadedComment>
  <threadedComment ref="J34" dT="2023-11-27T17:07:41.60" personId="{93238EA4-A97E-43A0-A9D2-13620007081D}" id="{FAF5B218-070B-45BE-B110-8F7B1C8B81D8}">
    <text>Replacement of claims 1 and 11.</text>
  </threadedComment>
  <threadedComment ref="M34" dT="2023-11-29T14:55:40.11" personId="{93238EA4-A97E-43A0-A9D2-13620007081D}" id="{4D5BB3EE-005C-45C2-8A0E-D7E2E45564DB}">
    <text>Darts</text>
  </threadedComment>
  <threadedComment ref="M34" dT="2023-11-29T14:56:18.84" personId="{93238EA4-A97E-43A0-A9D2-13620007081D}" id="{7704B9DC-897C-4848-9D16-5410FC43C4B9}" parentId="{4D5BB3EE-005C-45C2-8A0E-D7E2E45564DB}">
    <text>Could be an old one, in Darts there is also a mention of 28.01.2021</text>
  </threadedComment>
  <threadedComment ref="J36" dT="2023-11-27T18:02:14.73" personId="{93238EA4-A97E-43A0-A9D2-13620007081D}" id="{53EB2C4A-B146-421F-9694-F2E1E6344C5A}">
    <text>Mention of claims 12-16.</text>
  </threadedComment>
  <threadedComment ref="J37" dT="2023-11-27T18:02:14.73" personId="{93238EA4-A97E-43A0-A9D2-13620007081D}" id="{55CD50B4-5A2E-4B15-BEA6-A53BB7DC188B}">
    <text>Mention of claims 12-16.</text>
  </threadedComment>
  <threadedComment ref="C38" dT="2023-10-10T18:56:17.06" personId="{93238EA4-A97E-43A0-A9D2-13620007081D}" id="{32E38E9A-B4C5-420B-A74E-FEFED847AFDE}">
    <text>.17
Der Antrag auf Erlass einer einstweiligen Verfügung ist zulässig (I.) und begründet (II). 
.29
.41</text>
  </threadedComment>
  <threadedComment ref="C38" dT="2023-10-10T18:56:31.43" personId="{93238EA4-A97E-43A0-A9D2-13620007081D}" id="{7E859E91-37F8-4EB5-9F92-4CE005791952}" parentId="{32E38E9A-B4C5-420B-A74E-FEFED847AFDE}">
    <text>Bei den in § 33 Abs. 1 GWB geregelten Unterlassungs- und Beseitigungsansprüchen handelt
es sich um Ansprüche aus unerlaubter Handlung.</text>
  </threadedComment>
  <threadedComment ref="C38" dT="2023-11-22T16:27:12.97" personId="{93238EA4-A97E-43A0-A9D2-13620007081D}" id="{FA7CB9C6-ED0B-451B-96DA-3338190EAD47}" parentId="{32E38E9A-B4C5-420B-A74E-FEFED847AFDE}">
    <text>NO {the order here is reversed; the implementer successfully sues for a customs ban to be lifted}
Justus</text>
  </threadedComment>
  <threadedComment ref="F38" dT="2023-11-15T17:09:19.58" personId="{93238EA4-A97E-43A0-A9D2-13620007081D}" id="{8B531531-C8CD-43B9-8828-42DD66AF90A7}">
    <text>.15</text>
  </threadedComment>
  <threadedComment ref="C39" dT="2023-11-22T16:29:12.68" personId="{93238EA4-A97E-43A0-A9D2-13620007081D}" id="{5C7004C4-D8D6-47E9-9119-62617F84A564}">
    <text>{because retracted}
No?
Justus</text>
  </threadedComment>
  <threadedComment ref="C39" dT="2023-11-30T19:27:39.81" personId="{93238EA4-A97E-43A0-A9D2-13620007081D}" id="{C02BA359-E7AB-4221-9E45-4C06D4B8CA35}" parentId="{5C7004C4-D8D6-47E9-9119-62617F84A564}">
    <text>Changed to No for the graphs</text>
  </threadedComment>
  <threadedComment ref="D40" dT="2023-12-01T10:27:24.20" personId="{93238EA4-A97E-43A0-A9D2-13620007081D}" id="{F10E3C77-30B8-430B-8F81-C49007DBA52D}">
    <text>Picked the latest date</text>
  </threadedComment>
  <threadedComment ref="J40" dT="2023-11-27T18:15:07.25" personId="{93238EA4-A97E-43A0-A9D2-13620007081D}" id="{CF7F40C4-648E-42F9-ADE0-237D5137E220}">
    <text>Mention of the claims 5, 6, 7, 13, 14, 15 &amp; 19).</text>
  </threadedComment>
  <threadedComment ref="J40" dT="2023-11-28T17:21:20.94" personId="{93238EA4-A97E-43A0-A9D2-13620007081D}" id="{228041CD-B06E-4A4E-8D4C-C68E39A32877}" parentId="{CF7F40C4-648E-42F9-ADE0-237D5137E220}">
    <text xml:space="preserve">INEFFECTIVE!
Die Entscheidung ist wirkungslos. Die Klage ist am 05.03.2018 und 05.10.2018 zurückgenommen worden. </text>
  </threadedComment>
  <threadedComment ref="M40" dT="2023-11-29T15:23:26.13" personId="{93238EA4-A97E-43A0-A9D2-13620007081D}" id="{5F61D4A0-5533-4914-A6C1-05FD360AC451}">
    <text>Darts</text>
  </threadedComment>
  <threadedComment ref="D41" dT="2023-12-01T10:27:34.63" personId="{93238EA4-A97E-43A0-A9D2-13620007081D}" id="{178F12AA-02C9-4150-87E2-EA5870DAC209}">
    <text>Picked the latest date</text>
  </threadedComment>
  <threadedComment ref="J41" dT="2023-11-27T18:15:07.25" personId="{93238EA4-A97E-43A0-A9D2-13620007081D}" id="{B549275E-80BB-4560-A8EC-ECE330BB9F8B}">
    <text>Mention of the claims 5, 6, 7, 13, 14, 15 &amp; 19).</text>
  </threadedComment>
  <threadedComment ref="J41" dT="2023-11-28T17:21:37.96" personId="{93238EA4-A97E-43A0-A9D2-13620007081D}" id="{054E2D1D-3AF5-4E83-9294-8201FE68FC48}" parentId="{B549275E-80BB-4560-A8EC-ECE330BB9F8B}">
    <text xml:space="preserve">INEFFECTIVE!
Die Entscheidung ist wirkungslos. Die Klage ist am 05.03.2018 und 05.10.2018 zurückgenommen worden. </text>
  </threadedComment>
  <threadedComment ref="M41" dT="2023-11-29T15:23:26.13" personId="{93238EA4-A97E-43A0-A9D2-13620007081D}" id="{ED216E9D-8A6A-49DF-9FC3-1FBCDE55F43D}">
    <text>Darts</text>
  </threadedComment>
  <threadedComment ref="J42" dT="2023-11-27T14:20:38.51" personId="{93238EA4-A97E-43A0-A9D2-13620007081D}" id="{9E33C6E2-6004-4CB5-BF87-EAC9340BF51B}">
    <text>They specify some claims (1, 2, 10-14)</text>
  </threadedComment>
  <threadedComment ref="M42" dT="2023-11-29T15:14:37.93" personId="{93238EA4-A97E-43A0-A9D2-13620007081D}" id="{43B9FCFA-1570-4A5E-B915-2DB63D8F2F3F}">
    <text>Darts</text>
  </threadedComment>
  <threadedComment ref="J43" dT="2023-11-27T18:29:19.63" personId="{93238EA4-A97E-43A0-A9D2-13620007081D}" id="{2018DAFE-55DE-4FC5-A39E-50A08808230B}">
    <text>Replacement of claims 1 to 10.</text>
  </threadedComment>
  <threadedComment ref="M44" dT="2023-11-29T15:16:21.34" personId="{93238EA4-A97E-43A0-A9D2-13620007081D}" id="{492540C2-BEEB-405F-B775-FABF9A3CE58D}">
    <text>Darts</text>
  </threadedComment>
  <threadedComment ref="C45" dT="2023-11-21T18:50:28.28" personId="{93238EA4-A97E-43A0-A9D2-13620007081D}" id="{B06D5D71-9FAC-43AB-B3BA-BC782B7D2F06}">
    <text>Siete 33, VI.</text>
  </threadedComment>
  <threadedComment ref="J45" dT="2023-11-27T14:20:38.51" personId="{93238EA4-A97E-43A0-A9D2-13620007081D}" id="{181A8FB7-E331-4F41-97F5-FA80B771B555}">
    <text>They specify some claims (1, 9, 10 &amp; 19)</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gesetze-bayern.de/Content/Document/Y-300-Z-GRURRS-B-2023-N-18036?hl=true" TargetMode="External"/><Relationship Id="rId68" Type="http://schemas.openxmlformats.org/officeDocument/2006/relationships/hyperlink" Target="http://juris.bundespatentgericht.de/cgi-bin/rechtsprechung/document.py?Gericht=bpatg&amp;Art=en&amp;sid=cceed9fc9f9ffc523f1ae12263bfc901&amp;nr=39046&amp;pos=0&amp;anz=1&amp;Blank=1.pdf" TargetMode="External"/><Relationship Id="rId84" Type="http://schemas.openxmlformats.org/officeDocument/2006/relationships/hyperlink" Target="http://juris.bundespatentgericht.de/cgi-bin/rechtsprechung/document.py?Gericht=bpatg&amp;Art=en&amp;sid=5688c2d62c5fd7a11b2b8759c2350e57&amp;nr=36914&amp;pos=0&amp;anz=1&amp;Blank=1.pdf" TargetMode="External"/><Relationship Id="rId89" Type="http://schemas.openxmlformats.org/officeDocument/2006/relationships/hyperlink" Target="https://www.justiz.nrw.de/nrwe/lgs/duesseldorf/lg_duesseldorf/j2017/4a_O_27_16_Urteil_20170713.html" TargetMode="External"/><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katheraugenstein.com/app/uploads/2017-11-10-7-O-28_16-DE-pdf-1.pdf" TargetMode="External"/><Relationship Id="rId58" Type="http://schemas.openxmlformats.org/officeDocument/2006/relationships/hyperlink" Target="https://www.katheraugenstein.com/app/uploads/LG-Muenchen-I-05.08.2022-21-O-11522_21-Pitch-Lag-Schaetzung.pdf" TargetMode="External"/><Relationship Id="rId74" Type="http://schemas.openxmlformats.org/officeDocument/2006/relationships/hyperlink" Target="http://juris.bundespatentgericht.de/cgi-bin/rechtsprechung/document.py?Gericht=bpatg&amp;Art=en&amp;sid=72dab1f480256d994d46d296e1d81f0e&amp;nr=34383&amp;pos=0&amp;anz=1&amp;Blank=1.pdf" TargetMode="External"/><Relationship Id="rId79" Type="http://schemas.openxmlformats.org/officeDocument/2006/relationships/hyperlink" Target="http://juris.bundespatentgericht.de/cgi-bin/rechtsprechung/document.py?Gericht=bpatg&amp;Art=en&amp;sid=3652ff2c1f99b1fe95e3eef59630f1fa&amp;nr=38914&amp;pos=0&amp;anz=1&amp;Blank=1.pdf" TargetMode="External"/><Relationship Id="rId5" Type="http://schemas.openxmlformats.org/officeDocument/2006/relationships/hyperlink" Target="http://www.justiz.nrw.de/nrwe/lgs/duesseldorf/lg_duesseldorf/j2016/4a_O_73_14_Teil_Verzichts_und_Schlussurteil_20160331.html" TargetMode="External"/><Relationship Id="rId90" Type="http://schemas.openxmlformats.org/officeDocument/2006/relationships/hyperlink" Target="http://juris.bundespatentgericht.de/cgi-bin/rechtsprechung/document.py?Gericht=bpatg&amp;Art=en&amp;sid=9be8db4304df34a7cf8fe900676cd57d&amp;nr=37403&amp;pos=0&amp;anz=1&amp;Blank=1.pdf" TargetMode="External"/><Relationship Id="rId95" Type="http://schemas.microsoft.com/office/2017/10/relationships/threadedComment" Target="../threadedComments/threadedComment4.xm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64" Type="http://schemas.openxmlformats.org/officeDocument/2006/relationships/hyperlink" Target="http://juris.bundespatentgericht.de/cgi-bin/rechtsprechung/document.py?Gericht=bpatg&amp;Art=en&amp;sid=1d78632798b85c831df59d6be5dfa5b4&amp;nr=29853&amp;pos=0&amp;anz=1&amp;Blank=1.pdf" TargetMode="External"/><Relationship Id="rId69" Type="http://schemas.openxmlformats.org/officeDocument/2006/relationships/hyperlink" Target="http://juris.bundespatentgericht.de/cgi-bin/rechtsprechung/document.py?Gericht=bpatg&amp;Art=en&amp;sid=cceed9fc9f9ffc523f1ae12263bfc901&amp;nr=39046&amp;pos=0&amp;anz=1&amp;Blank=1.pdf"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2-07-05-LG-Mannheim-2-O-75_21-LTE-Mobilfunkstandard.pdf" TargetMode="External"/><Relationship Id="rId72" Type="http://schemas.openxmlformats.org/officeDocument/2006/relationships/hyperlink" Target="http://juris.bundespatentgericht.de/cgi-bin/rechtsprechung/document.py?Gericht=bpatg&amp;Art=en&amp;sid=512d6819bb3a9180b75a48161f5aff05&amp;nr=43641&amp;pos=0&amp;anz=1&amp;Blank=1.pdf" TargetMode="External"/><Relationship Id="rId80" Type="http://schemas.openxmlformats.org/officeDocument/2006/relationships/hyperlink" Target="http://juris.bundespatentgericht.de/cgi-bin/rechtsprechung/document.py?Gericht=bpatg&amp;Art=en&amp;sid=c6c57cea8d597be4ddff88df5e0c1bd4&amp;nr=42398&amp;pos=0&amp;anz=1&amp;Blank=1.pdf" TargetMode="External"/><Relationship Id="rId85" Type="http://schemas.openxmlformats.org/officeDocument/2006/relationships/hyperlink" Target="http://juris.bundespatentgericht.de/cgi-bin/rechtsprechung/document.py?Gericht=bpatg&amp;Art=en&amp;sid=0bea35bd8712808b6b1afc35cd8c17f9&amp;nr=34416&amp;pos=0&amp;anz=1&amp;Blank=1.pdf" TargetMode="External"/><Relationship Id="rId93" Type="http://schemas.openxmlformats.org/officeDocument/2006/relationships/vmlDrawing" Target="../drawings/vmlDrawing4.vm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LG-Muenchen-I-05.08.2022-21-O-11522_21-Pitch-Lag-Schaetzung-EN.pdf" TargetMode="External"/><Relationship Id="rId67" Type="http://schemas.openxmlformats.org/officeDocument/2006/relationships/hyperlink" Target="http://juris.bundespatentgericht.de/cgi-bin/rechtsprechung/document.py?Gericht=bpatg&amp;Art=en&amp;sid=1d78632798b85c831df59d6be5dfa5b4&amp;nr=29853&amp;pos=0&amp;anz=1&amp;Blank=1.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7-11-10-7-O-28_16-EN-pdf-1.pdf" TargetMode="External"/><Relationship Id="rId62" Type="http://schemas.openxmlformats.org/officeDocument/2006/relationships/hyperlink" Target="https://www.katheraugenstein.com/app/uploads/2023-04-19-Regional-Court-Munich-I-21-O-1910_22-Rahmenloeschung_en.pdf" TargetMode="External"/><Relationship Id="rId70" Type="http://schemas.openxmlformats.org/officeDocument/2006/relationships/hyperlink" Target="http://juris.bundespatentgericht.de/cgi-bin/rechtsprechung/document.py?Gericht=bpatg&amp;Art=en&amp;sid=cceed9fc9f9ffc523f1ae12263bfc901&amp;nr=39046&amp;pos=0&amp;anz=1&amp;Blank=1.pdf" TargetMode="External"/><Relationship Id="rId75" Type="http://schemas.openxmlformats.org/officeDocument/2006/relationships/hyperlink" Target="http://juris.bundespatentgericht.de/cgi-bin/rechtsprechung/document.py?Gericht=bpatg&amp;Art=en&amp;sid=75f141e9346b099fa6b6be07eb8d05a5&amp;nr=39474&amp;pos=0&amp;anz=1&amp;Blank=1.pdf" TargetMode="External"/><Relationship Id="rId83" Type="http://schemas.openxmlformats.org/officeDocument/2006/relationships/hyperlink" Target="http://juris.bundespatentgericht.de/cgi-bin/rechtsprechung/document.py?Gericht=bpatg&amp;Art=en&amp;sid=ddb6b4977af588ff2df7ce84427473b5&amp;nr=34377&amp;pos=0&amp;anz=1&amp;Blank=1.pdf" TargetMode="External"/><Relationship Id="rId88" Type="http://schemas.openxmlformats.org/officeDocument/2006/relationships/hyperlink" Target="https://www.justiz.nrw.de/nrwe/lgs/duesseldorf/lg_duesseldorf/j2017/4a_O_154_15_Urteil_20170713.html" TargetMode="External"/><Relationship Id="rId91" Type="http://schemas.openxmlformats.org/officeDocument/2006/relationships/hyperlink" Target="http://juris.bundespatentgericht.de/cgi-bin/rechtsprechung/document.py?Gericht=bpatg&amp;Art=en&amp;sid=aff07b20593ede41bbe8007fa65d4a0d&amp;nr=28089&amp;pos=1&amp;anz=2&amp;Blank=1.pdf" TargetMode="Externa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katheraugenstein.com/app/uploads/2022-07-05-Regional-Court-Mannheim-2-O-75_21-LTE-Mobilfunkstandard-EN.pdf" TargetMode="External"/><Relationship Id="rId60" Type="http://schemas.openxmlformats.org/officeDocument/2006/relationships/hyperlink" Target="https://www.gesetze-bayern.de/Content/Document/Y-300-Z-GRURRS-B-2022-N-26267?hl=true" TargetMode="External"/><Relationship Id="rId65" Type="http://schemas.openxmlformats.org/officeDocument/2006/relationships/hyperlink" Target="http://juris.bundespatentgericht.de/cgi-bin/rechtsprechung/document.py?Gericht=bpatg&amp;Art=en&amp;sid=14e273bb9e03002bf8855902c01530ec&amp;nr=29046&amp;pos=0&amp;anz=1&amp;Blank=1.pdf" TargetMode="External"/><Relationship Id="rId73" Type="http://schemas.openxmlformats.org/officeDocument/2006/relationships/hyperlink" Target="http://juris.bundespatentgericht.de/cgi-bin/rechtsprechung/document.py?Gericht=bpatg&amp;Art=en&amp;sid=53950807634dcf53171690d1a110fef0&amp;nr=43025&amp;pos=0&amp;anz=1&amp;Blank=1.pdf" TargetMode="External"/><Relationship Id="rId78" Type="http://schemas.openxmlformats.org/officeDocument/2006/relationships/hyperlink" Target="http://juris.bundespatentgericht.de/cgi-bin/rechtsprechung/document.py?Gericht=bpatg&amp;Art=en&amp;sid=94908c89b72e65e1f7d29010c2144ab1&amp;nr=43267&amp;pos=0&amp;anz=1&amp;Blank=1.pdf" TargetMode="External"/><Relationship Id="rId81" Type="http://schemas.openxmlformats.org/officeDocument/2006/relationships/hyperlink" Target="http://juris.bundespatentgericht.de/cgi-bin/rechtsprechung/document.py?Gericht=bpatg&amp;Art=en&amp;sid=591686bf13eeae126c67a6bd158e28d8&amp;nr=29077&amp;pos=0&amp;anz=1&amp;Blank=1.pdf" TargetMode="External"/><Relationship Id="rId86" Type="http://schemas.openxmlformats.org/officeDocument/2006/relationships/hyperlink" Target="http://juris.bundespatentgericht.de/cgi-bin/rechtsprechung/document.py?Gericht=bpatg&amp;Art=en&amp;sid=c7af110d065a7de705de0f054d1a4b27&amp;nr=38914&amp;pos=0&amp;anz=1&amp;Blank=1.pdf" TargetMode="External"/><Relationship Id="rId94" Type="http://schemas.openxmlformats.org/officeDocument/2006/relationships/comments" Target="../comments4.xm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gesetze-bayern.de/Content/Document/Y-300-Z-GRURRS-B-2021-N-23157" TargetMode="External"/><Relationship Id="rId55" Type="http://schemas.openxmlformats.org/officeDocument/2006/relationships/hyperlink" Target="https://www.katheraugenstein.com/app/uploads/2015-11-27-2-O-106_-14-DE-pdf.pdf" TargetMode="External"/><Relationship Id="rId76" Type="http://schemas.openxmlformats.org/officeDocument/2006/relationships/hyperlink" Target="http://juris.bundespatentgericht.de/cgi-bin/rechtsprechung/document.py?Gericht=bpatg&amp;Art=en&amp;sid=b33d1bbc43fde716904fd6352120093b&amp;nr=34377&amp;pos=0&amp;anz=1&amp;Blank=1.pdf"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juris.bundespatentgericht.de/cgi-bin/rechtsprechung/document.py?Gericht=bpatg&amp;Art=en&amp;sid=2a46cbd669d30945f37f9bc0306cdede&amp;nr=43699&amp;pos=0&amp;anz=1&amp;Blank=1.pdf" TargetMode="External"/><Relationship Id="rId92" Type="http://schemas.openxmlformats.org/officeDocument/2006/relationships/printerSettings" Target="../printerSettings/printerSettings1.bin"/><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juris.bundespatentgericht.de/cgi-bin/rechtsprechung/document.py?Gericht=bpatg&amp;Art=en&amp;sid=1d78632798b85c831df59d6be5dfa5b4&amp;nr=29853&amp;pos=0&amp;anz=1&amp;Blank=1.pdf" TargetMode="External"/><Relationship Id="rId87" Type="http://schemas.openxmlformats.org/officeDocument/2006/relationships/hyperlink" Target="https://www.justiz.nrw.de/nrwe/lgs/duesseldorf/lg_duesseldorf/j2017/4a_O_27_16_Urteil_20170713.html" TargetMode="External"/><Relationship Id="rId61" Type="http://schemas.openxmlformats.org/officeDocument/2006/relationships/hyperlink" Target="https://www.katheraugenstein.com/app/uploads/2023-04-19-LG-Muenchen-I-21-O-1910_22-Rahmenloeschung.pdf" TargetMode="External"/><Relationship Id="rId82" Type="http://schemas.openxmlformats.org/officeDocument/2006/relationships/hyperlink" Target="http://juris.bundespatentgericht.de/cgi-bin/rechtsprechung/document.py?Gericht=bpatg&amp;Art=en&amp;sid=591686bf13eeae126c67a6bd158e28d8&amp;nr=29077&amp;pos=0&amp;anz=1&amp;Blank=1.pdf" TargetMode="Externa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56" Type="http://schemas.openxmlformats.org/officeDocument/2006/relationships/hyperlink" Target="https://www.katheraugenstein.com/app/uploads/2015-11-27-2-O-106_14-EN-pdf-1.pdf" TargetMode="External"/><Relationship Id="rId77" Type="http://schemas.openxmlformats.org/officeDocument/2006/relationships/hyperlink" Target="http://juris.bundespatentgericht.de/cgi-bin/rechtsprechung/document.py?Gericht=bpatg&amp;Art=en&amp;sid=bbc8084d4a1b275b62cfa1c3e7203c48&amp;nr=39474&amp;pos=0&amp;anz=1&amp;Blank=1.pdf" TargetMode="Externa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www.gesetze-bayern.de/Content/Document/Y-300-Z-GRURRS-B-2020-N-22577?hl=true" TargetMode="External"/><Relationship Id="rId7" Type="http://schemas.openxmlformats.org/officeDocument/2006/relationships/drawing" Target="../drawings/drawing1.xml"/><Relationship Id="rId2" Type="http://schemas.openxmlformats.org/officeDocument/2006/relationships/hyperlink" Target="https://www.katheraugenstein.com/app/uploads/2020-09-10-LG-Muenchen-7-O-8818_19-EN.pdf" TargetMode="External"/><Relationship Id="rId1" Type="http://schemas.openxmlformats.org/officeDocument/2006/relationships/hyperlink" Target="https://www.katheraugenstein.com/app/uploads/2020-09-10-LG-Muenchen-7-O-8818_19-DE.pdf" TargetMode="External"/><Relationship Id="rId6" Type="http://schemas.openxmlformats.org/officeDocument/2006/relationships/hyperlink" Target="http://juris.bundespatentgericht.de/cgi-bin/rechtsprechung/document.py?Gericht=bpatg&amp;Art=en&amp;sid=bbaa34385701eb9b0de4e1625a453b0b&amp;nr=29412&amp;pos=0&amp;anz=1&amp;Blank=1.pdf" TargetMode="External"/><Relationship Id="rId5" Type="http://schemas.openxmlformats.org/officeDocument/2006/relationships/hyperlink" Target="https://www.katheraugenstein.com/app/uploads/2019-04-24-4c-O-24_19-EN.pdf" TargetMode="External"/><Relationship Id="rId10" Type="http://schemas.microsoft.com/office/2017/10/relationships/threadedComment" Target="../threadedComments/threadedComment5.xml"/><Relationship Id="rId4" Type="http://schemas.openxmlformats.org/officeDocument/2006/relationships/hyperlink" Target="https://www.katheraugenstein.com/app/uploads/2019-04-24-4c-O-24_19-DE.pdf" TargetMode="External"/><Relationship Id="rId9"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topLeftCell="A16" zoomScaleNormal="100" workbookViewId="0">
      <pane xSplit="1" topLeftCell="B1" activePane="topRight" state="frozen"/>
      <selection pane="topRight" activeCell="M32" sqref="M32"/>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327</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24" priority="2" operator="equal">
      <formula>"No"</formula>
    </cfRule>
  </conditionalFormatting>
  <conditionalFormatting sqref="D1:D1048576">
    <cfRule type="cellIs" dxfId="23" priority="4" operator="equal">
      <formula>"No?"</formula>
    </cfRule>
  </conditionalFormatting>
  <conditionalFormatting sqref="D1:E1048576">
    <cfRule type="cellIs" dxfId="22" priority="1" operator="equal">
      <formula>"??"</formula>
    </cfRule>
  </conditionalFormatting>
  <conditionalFormatting sqref="P1:P1048576">
    <cfRule type="cellIs" dxfId="21"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20" priority="2" operator="equal">
      <formula>"No"</formula>
    </cfRule>
  </conditionalFormatting>
  <conditionalFormatting sqref="D1:D1048576">
    <cfRule type="cellIs" dxfId="19" priority="5" operator="equal">
      <formula>"No?"</formula>
    </cfRule>
  </conditionalFormatting>
  <conditionalFormatting sqref="D1:E1048576">
    <cfRule type="cellIs" dxfId="18" priority="1" operator="equal">
      <formula>"??"</formula>
    </cfRule>
  </conditionalFormatting>
  <conditionalFormatting sqref="P1:P1048576">
    <cfRule type="cellIs" dxfId="17"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Y1" activePane="topRight" state="frozen"/>
      <selection pane="topRight" activeCell="AL16" sqref="AL16"/>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16" priority="1" operator="equal">
      <formula>"No"</formula>
    </cfRule>
  </conditionalFormatting>
  <conditionalFormatting sqref="D1:D1048576">
    <cfRule type="cellIs" dxfId="15" priority="2" operator="equal">
      <formula>"-"</formula>
    </cfRule>
    <cfRule type="cellIs" dxfId="14" priority="3" operator="equal">
      <formula>"??"</formula>
    </cfRule>
    <cfRule type="cellIs" dxfId="13" priority="6" operator="equal">
      <formula>"No?"</formula>
    </cfRule>
  </conditionalFormatting>
  <conditionalFormatting sqref="P1:P1048576">
    <cfRule type="cellIs" dxfId="12"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V46"/>
  <sheetViews>
    <sheetView workbookViewId="0">
      <pane xSplit="1" topLeftCell="B1" activePane="topRight" state="frozen"/>
      <selection pane="topRight" activeCell="AT40" sqref="AT40"/>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21875" bestFit="1" customWidth="1"/>
    <col min="7" max="7" width="8.88671875" customWidth="1"/>
    <col min="12" max="12" width="24.44140625" bestFit="1" customWidth="1"/>
    <col min="13" max="13" width="21" bestFit="1" customWidth="1"/>
    <col min="14" max="14" width="10.109375" bestFit="1" customWidth="1"/>
    <col min="15" max="15" width="10.21875" bestFit="1" customWidth="1"/>
    <col min="17" max="17" width="18" bestFit="1" customWidth="1"/>
    <col min="19" max="19" width="11.33203125" bestFit="1" customWidth="1"/>
    <col min="20" max="20" width="11.33203125" customWidth="1"/>
    <col min="21" max="21" width="16.33203125" bestFit="1" customWidth="1"/>
    <col min="22" max="22" width="38.44140625" style="9" bestFit="1" customWidth="1"/>
    <col min="23" max="23" width="17.77734375" bestFit="1" customWidth="1"/>
    <col min="24" max="24" width="15" bestFit="1" customWidth="1"/>
    <col min="25" max="25" width="17.21875" bestFit="1" customWidth="1"/>
    <col min="26" max="26" width="25.44140625" bestFit="1" customWidth="1"/>
    <col min="27" max="27" width="21.109375" bestFit="1" customWidth="1"/>
    <col min="28" max="28" width="20" bestFit="1" customWidth="1"/>
    <col min="29" max="29" width="11.6640625" bestFit="1" customWidth="1"/>
    <col min="31" max="31" width="12.109375" bestFit="1" customWidth="1"/>
    <col min="33" max="33" width="10.5546875" bestFit="1" customWidth="1"/>
    <col min="34" max="34" width="18.5546875" bestFit="1" customWidth="1"/>
    <col min="35" max="35" width="11" bestFit="1" customWidth="1"/>
    <col min="36" max="36" width="18.44140625" bestFit="1" customWidth="1"/>
    <col min="37" max="37" width="16.33203125" bestFit="1" customWidth="1"/>
    <col min="38" max="38" width="21.21875" bestFit="1" customWidth="1"/>
    <col min="39" max="39" width="17.33203125" bestFit="1" customWidth="1"/>
    <col min="40" max="40" width="26.109375" bestFit="1" customWidth="1"/>
    <col min="41" max="41" width="25.21875" bestFit="1" customWidth="1"/>
    <col min="42" max="42" width="25.6640625" bestFit="1" customWidth="1"/>
    <col min="43" max="43" width="31.6640625" bestFit="1" customWidth="1"/>
    <col min="44" max="44" width="19.109375" bestFit="1" customWidth="1"/>
    <col min="45" max="45" width="18.21875" bestFit="1" customWidth="1"/>
    <col min="46" max="46" width="10" customWidth="1"/>
  </cols>
  <sheetData>
    <row r="1" spans="1:48"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548</v>
      </c>
      <c r="U1" t="s">
        <v>278</v>
      </c>
      <c r="V1" s="9" t="s">
        <v>315</v>
      </c>
      <c r="W1" t="s">
        <v>279</v>
      </c>
      <c r="X1" t="s">
        <v>281</v>
      </c>
      <c r="Y1" t="s">
        <v>282</v>
      </c>
      <c r="Z1" t="s">
        <v>283</v>
      </c>
      <c r="AA1" t="s">
        <v>284</v>
      </c>
      <c r="AB1" t="s">
        <v>285</v>
      </c>
      <c r="AC1" t="s">
        <v>286</v>
      </c>
      <c r="AD1" t="s">
        <v>316</v>
      </c>
      <c r="AE1" t="s">
        <v>317</v>
      </c>
      <c r="AF1" t="s">
        <v>287</v>
      </c>
      <c r="AG1" t="s">
        <v>288</v>
      </c>
      <c r="AH1" t="s">
        <v>355</v>
      </c>
      <c r="AI1" t="s">
        <v>356</v>
      </c>
      <c r="AJ1" t="s">
        <v>349</v>
      </c>
      <c r="AK1" t="s">
        <v>357</v>
      </c>
      <c r="AL1" t="s">
        <v>359</v>
      </c>
      <c r="AM1" t="s">
        <v>353</v>
      </c>
      <c r="AN1" t="s">
        <v>360</v>
      </c>
      <c r="AO1" t="s">
        <v>350</v>
      </c>
      <c r="AP1" t="s">
        <v>351</v>
      </c>
      <c r="AQ1" t="s">
        <v>426</v>
      </c>
      <c r="AR1" t="s">
        <v>427</v>
      </c>
      <c r="AS1" t="s">
        <v>428</v>
      </c>
      <c r="AT1" t="s">
        <v>32</v>
      </c>
      <c r="AU1" t="s">
        <v>352</v>
      </c>
      <c r="AV1" t="s">
        <v>401</v>
      </c>
    </row>
    <row r="2" spans="1:48"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U2" t="s">
        <v>289</v>
      </c>
      <c r="V2" s="9" t="s">
        <v>289</v>
      </c>
      <c r="W2" t="s">
        <v>290</v>
      </c>
      <c r="X2" t="s">
        <v>113</v>
      </c>
      <c r="Y2" t="s">
        <v>31</v>
      </c>
      <c r="Z2" t="s">
        <v>25</v>
      </c>
      <c r="AA2" t="s">
        <v>31</v>
      </c>
      <c r="AB2" t="s">
        <v>25</v>
      </c>
      <c r="AC2" t="s">
        <v>36</v>
      </c>
      <c r="AD2" t="s">
        <v>36</v>
      </c>
      <c r="AE2" t="s">
        <v>36</v>
      </c>
      <c r="AF2" s="22" t="s">
        <v>31</v>
      </c>
      <c r="AG2" t="s">
        <v>31</v>
      </c>
      <c r="AH2" t="s">
        <v>31</v>
      </c>
      <c r="AI2" t="s">
        <v>31</v>
      </c>
      <c r="AJ2" t="s">
        <v>354</v>
      </c>
      <c r="AK2" t="s">
        <v>31</v>
      </c>
      <c r="AL2" t="s">
        <v>358</v>
      </c>
      <c r="AM2" t="s">
        <v>31</v>
      </c>
      <c r="AN2" t="s">
        <v>354</v>
      </c>
      <c r="AO2" t="s">
        <v>31</v>
      </c>
      <c r="AP2" t="s">
        <v>422</v>
      </c>
      <c r="AQ2" t="s">
        <v>429</v>
      </c>
      <c r="AR2" t="s">
        <v>430</v>
      </c>
      <c r="AS2" t="s">
        <v>489</v>
      </c>
      <c r="AT2" s="1" t="s">
        <v>431</v>
      </c>
      <c r="AU2" t="s">
        <v>361</v>
      </c>
      <c r="AV2" t="s">
        <v>402</v>
      </c>
    </row>
    <row r="3" spans="1:48"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U3" s="11" t="s">
        <v>293</v>
      </c>
      <c r="V3" s="9" t="s">
        <v>293</v>
      </c>
      <c r="W3" t="s">
        <v>321</v>
      </c>
      <c r="X3" s="8" t="s">
        <v>117</v>
      </c>
      <c r="Y3" t="s">
        <v>31</v>
      </c>
      <c r="Z3" t="s">
        <v>25</v>
      </c>
      <c r="AA3" t="s">
        <v>31</v>
      </c>
      <c r="AB3" t="s">
        <v>25</v>
      </c>
      <c r="AC3" t="s">
        <v>31</v>
      </c>
      <c r="AD3" t="s">
        <v>31</v>
      </c>
      <c r="AE3" t="s">
        <v>31</v>
      </c>
      <c r="AF3" s="22" t="s">
        <v>31</v>
      </c>
      <c r="AG3" t="s">
        <v>31</v>
      </c>
      <c r="AH3" t="s">
        <v>31</v>
      </c>
      <c r="AI3" t="s">
        <v>31</v>
      </c>
      <c r="AJ3" t="s">
        <v>363</v>
      </c>
      <c r="AK3" t="s">
        <v>25</v>
      </c>
      <c r="AL3" t="s">
        <v>36</v>
      </c>
      <c r="AM3" t="s">
        <v>25</v>
      </c>
      <c r="AN3" t="s">
        <v>36</v>
      </c>
      <c r="AO3" s="18" t="s">
        <v>31</v>
      </c>
      <c r="AP3" t="s">
        <v>36</v>
      </c>
      <c r="AQ3" s="18" t="s">
        <v>577</v>
      </c>
      <c r="AR3" t="s">
        <v>36</v>
      </c>
      <c r="AS3" s="18" t="s">
        <v>559</v>
      </c>
      <c r="AT3" t="s">
        <v>36</v>
      </c>
      <c r="AU3" t="s">
        <v>362</v>
      </c>
      <c r="AV3" t="s">
        <v>403</v>
      </c>
    </row>
    <row r="4" spans="1:48"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U4" t="s">
        <v>116</v>
      </c>
      <c r="V4" s="9" t="s">
        <v>116</v>
      </c>
      <c r="W4" t="s">
        <v>321</v>
      </c>
      <c r="X4" t="s">
        <v>117</v>
      </c>
      <c r="Y4" t="s">
        <v>31</v>
      </c>
      <c r="Z4" t="s">
        <v>25</v>
      </c>
      <c r="AA4" t="s">
        <v>31</v>
      </c>
      <c r="AB4" t="s">
        <v>25</v>
      </c>
      <c r="AC4" t="s">
        <v>31</v>
      </c>
      <c r="AD4" t="s">
        <v>31</v>
      </c>
      <c r="AE4" t="s">
        <v>31</v>
      </c>
      <c r="AF4" s="22" t="s">
        <v>31</v>
      </c>
      <c r="AG4" t="s">
        <v>31</v>
      </c>
      <c r="AH4" t="s">
        <v>31</v>
      </c>
      <c r="AI4" t="s">
        <v>31</v>
      </c>
      <c r="AJ4" t="s">
        <v>363</v>
      </c>
      <c r="AK4" t="s">
        <v>25</v>
      </c>
      <c r="AL4" t="s">
        <v>36</v>
      </c>
      <c r="AM4" t="s">
        <v>25</v>
      </c>
      <c r="AN4" t="s">
        <v>36</v>
      </c>
      <c r="AO4" t="s">
        <v>31</v>
      </c>
      <c r="AP4" t="s">
        <v>422</v>
      </c>
      <c r="AQ4" t="s">
        <v>432</v>
      </c>
      <c r="AR4" t="s">
        <v>300</v>
      </c>
      <c r="AS4" t="s">
        <v>488</v>
      </c>
      <c r="AT4" s="1" t="s">
        <v>433</v>
      </c>
      <c r="AU4" t="s">
        <v>364</v>
      </c>
      <c r="AV4" t="s">
        <v>403</v>
      </c>
    </row>
    <row r="5" spans="1:48"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U5" t="s">
        <v>294</v>
      </c>
      <c r="V5" s="9" t="s">
        <v>318</v>
      </c>
      <c r="W5" t="s">
        <v>318</v>
      </c>
      <c r="X5" s="6" t="s">
        <v>119</v>
      </c>
      <c r="Y5" t="s">
        <v>31</v>
      </c>
      <c r="Z5" s="22" t="s">
        <v>31</v>
      </c>
      <c r="AA5" t="s">
        <v>31</v>
      </c>
      <c r="AB5" t="s">
        <v>31</v>
      </c>
      <c r="AC5" t="s">
        <v>25</v>
      </c>
      <c r="AD5" t="s">
        <v>25</v>
      </c>
      <c r="AE5" t="s">
        <v>36</v>
      </c>
      <c r="AF5" t="s">
        <v>247</v>
      </c>
      <c r="AG5" t="s">
        <v>31</v>
      </c>
      <c r="AH5" t="s">
        <v>25</v>
      </c>
      <c r="AI5" t="s">
        <v>25</v>
      </c>
      <c r="AJ5" t="s">
        <v>36</v>
      </c>
      <c r="AK5" t="s">
        <v>25</v>
      </c>
      <c r="AL5" t="s">
        <v>36</v>
      </c>
      <c r="AM5" t="s">
        <v>25</v>
      </c>
      <c r="AN5" t="s">
        <v>36</v>
      </c>
      <c r="AO5" t="s">
        <v>31</v>
      </c>
      <c r="AP5" t="s">
        <v>422</v>
      </c>
      <c r="AQ5" t="s">
        <v>429</v>
      </c>
      <c r="AR5" t="s">
        <v>430</v>
      </c>
      <c r="AS5" t="s">
        <v>489</v>
      </c>
      <c r="AT5" s="1" t="s">
        <v>431</v>
      </c>
      <c r="AU5" t="s">
        <v>361</v>
      </c>
      <c r="AV5" t="s">
        <v>402</v>
      </c>
    </row>
    <row r="6" spans="1:48"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U6" t="s">
        <v>295</v>
      </c>
      <c r="V6" s="9" t="s">
        <v>295</v>
      </c>
      <c r="W6" t="s">
        <v>318</v>
      </c>
      <c r="X6" s="6" t="s">
        <v>119</v>
      </c>
      <c r="Y6" t="s">
        <v>31</v>
      </c>
      <c r="Z6" s="22" t="s">
        <v>31</v>
      </c>
      <c r="AA6" t="s">
        <v>31</v>
      </c>
      <c r="AB6" t="s">
        <v>31</v>
      </c>
      <c r="AC6" t="s">
        <v>25</v>
      </c>
      <c r="AD6" t="s">
        <v>25</v>
      </c>
      <c r="AE6" t="s">
        <v>36</v>
      </c>
      <c r="AF6" t="s">
        <v>247</v>
      </c>
      <c r="AG6" t="s">
        <v>31</v>
      </c>
      <c r="AH6" t="s">
        <v>25</v>
      </c>
      <c r="AI6" t="s">
        <v>25</v>
      </c>
      <c r="AJ6" t="s">
        <v>36</v>
      </c>
      <c r="AK6" t="s">
        <v>25</v>
      </c>
      <c r="AL6" t="s">
        <v>36</v>
      </c>
      <c r="AM6" t="s">
        <v>25</v>
      </c>
      <c r="AN6" t="s">
        <v>36</v>
      </c>
      <c r="AO6" t="s">
        <v>31</v>
      </c>
      <c r="AP6" t="s">
        <v>422</v>
      </c>
      <c r="AQ6" t="s">
        <v>429</v>
      </c>
      <c r="AR6" t="s">
        <v>430</v>
      </c>
      <c r="AS6" t="s">
        <v>489</v>
      </c>
      <c r="AT6" s="1" t="s">
        <v>431</v>
      </c>
      <c r="AU6" t="s">
        <v>361</v>
      </c>
      <c r="AV6" t="s">
        <v>405</v>
      </c>
    </row>
    <row r="7" spans="1:48"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U7" t="s">
        <v>296</v>
      </c>
      <c r="V7" s="9" t="s">
        <v>296</v>
      </c>
      <c r="W7" t="s">
        <v>322</v>
      </c>
      <c r="X7" s="6" t="s">
        <v>121</v>
      </c>
      <c r="Y7" t="s">
        <v>31</v>
      </c>
      <c r="Z7" t="s">
        <v>31</v>
      </c>
      <c r="AA7" t="s">
        <v>31</v>
      </c>
      <c r="AB7" t="s">
        <v>31</v>
      </c>
      <c r="AC7" t="s">
        <v>25</v>
      </c>
      <c r="AD7" t="s">
        <v>248</v>
      </c>
      <c r="AE7" t="s">
        <v>25</v>
      </c>
      <c r="AF7" t="s">
        <v>247</v>
      </c>
      <c r="AG7" t="s">
        <v>247</v>
      </c>
      <c r="AH7" s="6" t="s">
        <v>25</v>
      </c>
      <c r="AI7" s="6" t="s">
        <v>25</v>
      </c>
      <c r="AJ7" s="6" t="s">
        <v>36</v>
      </c>
      <c r="AK7" s="6" t="s">
        <v>25</v>
      </c>
      <c r="AL7" s="6" t="s">
        <v>36</v>
      </c>
      <c r="AM7" s="6" t="s">
        <v>25</v>
      </c>
      <c r="AN7" s="6" t="s">
        <v>36</v>
      </c>
      <c r="AO7" s="6" t="s">
        <v>31</v>
      </c>
      <c r="AP7" s="6" t="s">
        <v>423</v>
      </c>
      <c r="AQ7" s="6" t="s">
        <v>435</v>
      </c>
      <c r="AR7" s="6" t="s">
        <v>434</v>
      </c>
      <c r="AS7" s="6" t="s">
        <v>487</v>
      </c>
      <c r="AT7" s="1" t="s">
        <v>436</v>
      </c>
      <c r="AU7" s="6" t="s">
        <v>365</v>
      </c>
      <c r="AV7" s="6" t="s">
        <v>406</v>
      </c>
    </row>
    <row r="8" spans="1:48"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U8" t="s">
        <v>297</v>
      </c>
      <c r="V8" s="9" t="s">
        <v>297</v>
      </c>
      <c r="W8" t="s">
        <v>322</v>
      </c>
      <c r="X8" s="6" t="s">
        <v>121</v>
      </c>
      <c r="Y8" t="s">
        <v>31</v>
      </c>
      <c r="Z8" t="s">
        <v>31</v>
      </c>
      <c r="AA8" t="s">
        <v>31</v>
      </c>
      <c r="AB8" t="s">
        <v>31</v>
      </c>
      <c r="AC8" t="s">
        <v>25</v>
      </c>
      <c r="AD8" t="s">
        <v>248</v>
      </c>
      <c r="AE8" t="s">
        <v>25</v>
      </c>
      <c r="AF8" t="s">
        <v>247</v>
      </c>
      <c r="AG8" t="s">
        <v>247</v>
      </c>
      <c r="AH8" s="6" t="s">
        <v>25</v>
      </c>
      <c r="AI8" s="6" t="s">
        <v>25</v>
      </c>
      <c r="AJ8" s="6" t="s">
        <v>36</v>
      </c>
      <c r="AK8" s="6" t="s">
        <v>25</v>
      </c>
      <c r="AL8" s="6" t="s">
        <v>36</v>
      </c>
      <c r="AM8" s="6" t="s">
        <v>25</v>
      </c>
      <c r="AN8" s="6" t="s">
        <v>36</v>
      </c>
      <c r="AO8" s="6" t="s">
        <v>31</v>
      </c>
      <c r="AP8" s="6" t="s">
        <v>423</v>
      </c>
      <c r="AQ8" s="6" t="s">
        <v>435</v>
      </c>
      <c r="AR8" s="6" t="s">
        <v>434</v>
      </c>
      <c r="AS8" s="6" t="s">
        <v>487</v>
      </c>
      <c r="AT8" s="1" t="s">
        <v>436</v>
      </c>
      <c r="AU8" s="6" t="s">
        <v>366</v>
      </c>
      <c r="AV8" s="6" t="s">
        <v>407</v>
      </c>
    </row>
    <row r="9" spans="1:48" x14ac:dyDescent="0.3">
      <c r="A9" t="s">
        <v>75</v>
      </c>
      <c r="B9" t="s">
        <v>2</v>
      </c>
      <c r="C9" t="s">
        <v>31</v>
      </c>
      <c r="D9" t="s">
        <v>31</v>
      </c>
      <c r="E9" t="s">
        <v>31</v>
      </c>
      <c r="F9" t="s">
        <v>31</v>
      </c>
      <c r="G9" s="2" t="s">
        <v>53</v>
      </c>
      <c r="H9" s="2" t="s">
        <v>54</v>
      </c>
      <c r="I9" t="s">
        <v>31</v>
      </c>
      <c r="J9" t="s">
        <v>31</v>
      </c>
      <c r="K9" s="1" t="s">
        <v>51</v>
      </c>
      <c r="L9" t="s">
        <v>36</v>
      </c>
      <c r="M9" t="s">
        <v>123</v>
      </c>
      <c r="N9" s="6" t="s">
        <v>124</v>
      </c>
      <c r="Q9">
        <v>2500000</v>
      </c>
      <c r="S9" t="s">
        <v>323</v>
      </c>
      <c r="U9" t="s">
        <v>299</v>
      </c>
      <c r="V9" s="9" t="s">
        <v>299</v>
      </c>
      <c r="W9" t="s">
        <v>323</v>
      </c>
      <c r="X9" s="6" t="s">
        <v>124</v>
      </c>
      <c r="Y9" t="s">
        <v>31</v>
      </c>
      <c r="Z9" t="s">
        <v>25</v>
      </c>
      <c r="AA9" t="s">
        <v>31</v>
      </c>
      <c r="AB9" t="s">
        <v>31</v>
      </c>
      <c r="AC9" t="s">
        <v>31</v>
      </c>
      <c r="AD9" t="s">
        <v>31</v>
      </c>
      <c r="AE9" t="s">
        <v>31</v>
      </c>
      <c r="AF9" t="s">
        <v>31</v>
      </c>
      <c r="AG9" t="s">
        <v>31</v>
      </c>
      <c r="AH9" s="6" t="s">
        <v>25</v>
      </c>
      <c r="AI9" s="6" t="s">
        <v>25</v>
      </c>
      <c r="AJ9" s="6" t="s">
        <v>36</v>
      </c>
      <c r="AK9" s="6" t="s">
        <v>25</v>
      </c>
      <c r="AL9" s="6" t="s">
        <v>36</v>
      </c>
      <c r="AM9" s="6" t="s">
        <v>25</v>
      </c>
      <c r="AN9" s="6" t="s">
        <v>36</v>
      </c>
      <c r="AO9" s="6" t="s">
        <v>25</v>
      </c>
      <c r="AP9" s="6" t="s">
        <v>36</v>
      </c>
      <c r="AQ9" s="6" t="s">
        <v>36</v>
      </c>
      <c r="AR9" s="6" t="s">
        <v>36</v>
      </c>
      <c r="AS9" s="6" t="s">
        <v>36</v>
      </c>
      <c r="AT9" s="6" t="s">
        <v>36</v>
      </c>
      <c r="AU9" s="6" t="s">
        <v>367</v>
      </c>
      <c r="AV9" s="6" t="s">
        <v>36</v>
      </c>
    </row>
    <row r="10" spans="1:48"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s="19" t="s">
        <v>549</v>
      </c>
      <c r="T10" s="19" t="s">
        <v>549</v>
      </c>
      <c r="U10" t="s">
        <v>300</v>
      </c>
      <c r="V10" s="19" t="s">
        <v>324</v>
      </c>
      <c r="W10" s="11" t="s">
        <v>324</v>
      </c>
      <c r="X10" s="6" t="s">
        <v>126</v>
      </c>
      <c r="Y10" t="s">
        <v>31</v>
      </c>
      <c r="Z10" t="s">
        <v>25</v>
      </c>
      <c r="AA10" t="s">
        <v>31</v>
      </c>
      <c r="AB10" t="s">
        <v>31</v>
      </c>
      <c r="AC10" t="s">
        <v>31</v>
      </c>
      <c r="AD10" t="s">
        <v>31</v>
      </c>
      <c r="AE10" t="s">
        <v>31</v>
      </c>
      <c r="AF10" t="s">
        <v>31</v>
      </c>
      <c r="AG10" t="s">
        <v>31</v>
      </c>
      <c r="AH10" s="6" t="s">
        <v>25</v>
      </c>
      <c r="AI10" s="6" t="s">
        <v>25</v>
      </c>
      <c r="AJ10" s="6" t="s">
        <v>36</v>
      </c>
      <c r="AK10" s="6" t="s">
        <v>25</v>
      </c>
      <c r="AL10" s="6" t="s">
        <v>36</v>
      </c>
      <c r="AM10" s="6" t="s">
        <v>25</v>
      </c>
      <c r="AN10" s="6" t="s">
        <v>36</v>
      </c>
      <c r="AO10" s="23" t="s">
        <v>31</v>
      </c>
      <c r="AP10" s="6" t="s">
        <v>36</v>
      </c>
      <c r="AQ10" s="23" t="s">
        <v>586</v>
      </c>
      <c r="AR10" s="6" t="s">
        <v>36</v>
      </c>
      <c r="AS10" s="23" t="s">
        <v>587</v>
      </c>
      <c r="AT10" s="6" t="s">
        <v>36</v>
      </c>
      <c r="AU10" s="6" t="s">
        <v>368</v>
      </c>
      <c r="AV10" s="6" t="s">
        <v>36</v>
      </c>
    </row>
    <row r="11" spans="1:48"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U11" t="s">
        <v>301</v>
      </c>
      <c r="V11" s="9" t="s">
        <v>301</v>
      </c>
      <c r="W11" t="s">
        <v>324</v>
      </c>
      <c r="X11" s="6" t="s">
        <v>124</v>
      </c>
      <c r="Y11" t="s">
        <v>31</v>
      </c>
      <c r="Z11" t="s">
        <v>25</v>
      </c>
      <c r="AA11" t="s">
        <v>31</v>
      </c>
      <c r="AB11" t="s">
        <v>31</v>
      </c>
      <c r="AC11" t="s">
        <v>31</v>
      </c>
      <c r="AD11" t="s">
        <v>31</v>
      </c>
      <c r="AE11" t="s">
        <v>31</v>
      </c>
      <c r="AF11" t="s">
        <v>31</v>
      </c>
      <c r="AG11" t="s">
        <v>31</v>
      </c>
      <c r="AH11" s="6" t="s">
        <v>31</v>
      </c>
      <c r="AI11" s="6" t="s">
        <v>31</v>
      </c>
      <c r="AJ11" s="6" t="s">
        <v>370</v>
      </c>
      <c r="AK11" s="6" t="s">
        <v>25</v>
      </c>
      <c r="AL11" s="6" t="s">
        <v>36</v>
      </c>
      <c r="AM11" s="6" t="s">
        <v>25</v>
      </c>
      <c r="AN11" s="6" t="s">
        <v>36</v>
      </c>
      <c r="AO11" s="23" t="s">
        <v>31</v>
      </c>
      <c r="AP11" s="6" t="s">
        <v>36</v>
      </c>
      <c r="AQ11" s="23" t="s">
        <v>588</v>
      </c>
      <c r="AR11" s="6" t="s">
        <v>36</v>
      </c>
      <c r="AS11" s="23" t="s">
        <v>560</v>
      </c>
      <c r="AT11" s="6" t="s">
        <v>36</v>
      </c>
      <c r="AU11" s="6" t="s">
        <v>369</v>
      </c>
      <c r="AV11" s="6" t="s">
        <v>408</v>
      </c>
    </row>
    <row r="12" spans="1:48"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U12" t="s">
        <v>298</v>
      </c>
      <c r="V12" s="9" t="s">
        <v>298</v>
      </c>
      <c r="W12" s="11" t="s">
        <v>326</v>
      </c>
      <c r="X12" t="s">
        <v>121</v>
      </c>
      <c r="Y12" t="s">
        <v>31</v>
      </c>
      <c r="Z12" s="22" t="s">
        <v>31</v>
      </c>
      <c r="AA12" t="s">
        <v>31</v>
      </c>
      <c r="AB12" t="s">
        <v>31</v>
      </c>
      <c r="AC12" t="s">
        <v>25</v>
      </c>
      <c r="AD12" t="s">
        <v>248</v>
      </c>
      <c r="AE12" t="s">
        <v>25</v>
      </c>
      <c r="AF12" t="s">
        <v>247</v>
      </c>
      <c r="AG12" t="s">
        <v>247</v>
      </c>
      <c r="AH12" s="6" t="s">
        <v>31</v>
      </c>
      <c r="AI12" s="6" t="s">
        <v>44</v>
      </c>
      <c r="AJ12" s="6" t="s">
        <v>371</v>
      </c>
      <c r="AK12" s="6" t="s">
        <v>25</v>
      </c>
      <c r="AL12" s="6" t="s">
        <v>36</v>
      </c>
      <c r="AM12" s="6" t="s">
        <v>25</v>
      </c>
      <c r="AN12" s="6" t="s">
        <v>36</v>
      </c>
      <c r="AO12" s="6" t="s">
        <v>31</v>
      </c>
      <c r="AP12" s="6" t="s">
        <v>423</v>
      </c>
      <c r="AQ12" s="6" t="s">
        <v>435</v>
      </c>
      <c r="AR12" s="6" t="s">
        <v>434</v>
      </c>
      <c r="AS12" s="6" t="s">
        <v>487</v>
      </c>
      <c r="AT12" s="1" t="s">
        <v>436</v>
      </c>
      <c r="AU12" s="6" t="s">
        <v>365</v>
      </c>
      <c r="AV12" s="6" t="s">
        <v>406</v>
      </c>
    </row>
    <row r="13" spans="1:48" x14ac:dyDescent="0.3">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U13" t="s">
        <v>301</v>
      </c>
      <c r="V13" s="9" t="s">
        <v>301</v>
      </c>
      <c r="W13" t="s">
        <v>324</v>
      </c>
      <c r="X13" t="s">
        <v>129</v>
      </c>
      <c r="Y13" t="s">
        <v>31</v>
      </c>
      <c r="Z13" t="s">
        <v>25</v>
      </c>
      <c r="AA13" t="s">
        <v>31</v>
      </c>
      <c r="AB13" t="s">
        <v>31</v>
      </c>
      <c r="AC13" t="s">
        <v>31</v>
      </c>
      <c r="AD13" t="s">
        <v>31</v>
      </c>
      <c r="AE13" t="s">
        <v>31</v>
      </c>
      <c r="AF13" t="s">
        <v>31</v>
      </c>
      <c r="AG13" t="s">
        <v>31</v>
      </c>
      <c r="AH13" s="6" t="s">
        <v>25</v>
      </c>
      <c r="AI13" s="6" t="s">
        <v>25</v>
      </c>
      <c r="AJ13" s="6" t="s">
        <v>36</v>
      </c>
      <c r="AK13" s="6" t="s">
        <v>25</v>
      </c>
      <c r="AL13" s="6" t="s">
        <v>36</v>
      </c>
      <c r="AM13" s="6" t="s">
        <v>25</v>
      </c>
      <c r="AN13" s="6" t="s">
        <v>36</v>
      </c>
      <c r="AO13" s="23" t="s">
        <v>31</v>
      </c>
      <c r="AP13" s="6" t="s">
        <v>36</v>
      </c>
      <c r="AQ13" s="23" t="s">
        <v>589</v>
      </c>
      <c r="AR13" s="6" t="s">
        <v>36</v>
      </c>
      <c r="AS13" s="23" t="s">
        <v>561</v>
      </c>
      <c r="AT13" s="6" t="s">
        <v>36</v>
      </c>
      <c r="AU13" s="6" t="s">
        <v>372</v>
      </c>
      <c r="AV13" s="6" t="s">
        <v>36</v>
      </c>
    </row>
    <row r="14" spans="1:48"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s="19" t="s">
        <v>247</v>
      </c>
      <c r="T14" s="19" t="s">
        <v>550</v>
      </c>
      <c r="W14" s="11" t="s">
        <v>121</v>
      </c>
      <c r="X14" t="s">
        <v>131</v>
      </c>
      <c r="Y14" t="s">
        <v>31</v>
      </c>
      <c r="Z14" t="s">
        <v>25</v>
      </c>
      <c r="AA14" t="s">
        <v>31</v>
      </c>
      <c r="AB14" t="s">
        <v>31</v>
      </c>
      <c r="AC14" t="s">
        <v>31</v>
      </c>
      <c r="AD14" t="s">
        <v>31</v>
      </c>
      <c r="AE14" t="s">
        <v>31</v>
      </c>
      <c r="AF14" t="s">
        <v>31</v>
      </c>
      <c r="AG14" t="s">
        <v>31</v>
      </c>
      <c r="AH14" s="6" t="s">
        <v>31</v>
      </c>
      <c r="AI14" s="6" t="s">
        <v>25</v>
      </c>
      <c r="AJ14" s="6" t="s">
        <v>36</v>
      </c>
      <c r="AK14" s="6" t="s">
        <v>31</v>
      </c>
      <c r="AL14" s="6" t="s">
        <v>374</v>
      </c>
      <c r="AM14" s="6" t="s">
        <v>25</v>
      </c>
      <c r="AN14" s="6" t="s">
        <v>36</v>
      </c>
      <c r="AO14" s="6" t="s">
        <v>31</v>
      </c>
      <c r="AP14" s="6" t="s">
        <v>422</v>
      </c>
      <c r="AQ14" s="6" t="s">
        <v>438</v>
      </c>
      <c r="AR14" s="6" t="s">
        <v>439</v>
      </c>
      <c r="AS14" s="6" t="s">
        <v>490</v>
      </c>
      <c r="AT14" s="1" t="s">
        <v>437</v>
      </c>
      <c r="AU14" s="6" t="s">
        <v>373</v>
      </c>
      <c r="AV14" s="6" t="s">
        <v>36</v>
      </c>
    </row>
    <row r="15" spans="1:48"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s="11" t="s">
        <v>247</v>
      </c>
      <c r="T15" s="19" t="s">
        <v>552</v>
      </c>
      <c r="U15" t="s">
        <v>302</v>
      </c>
      <c r="V15" s="9" t="s">
        <v>302</v>
      </c>
      <c r="W15" s="11" t="s">
        <v>327</v>
      </c>
      <c r="X15" t="s">
        <v>131</v>
      </c>
      <c r="Y15" t="s">
        <v>31</v>
      </c>
      <c r="Z15" t="s">
        <v>25</v>
      </c>
      <c r="AA15" t="s">
        <v>31</v>
      </c>
      <c r="AB15" t="s">
        <v>31</v>
      </c>
      <c r="AC15" t="s">
        <v>31</v>
      </c>
      <c r="AD15" t="s">
        <v>31</v>
      </c>
      <c r="AE15" t="s">
        <v>31</v>
      </c>
      <c r="AF15" t="s">
        <v>31</v>
      </c>
      <c r="AG15" t="s">
        <v>31</v>
      </c>
      <c r="AH15" s="6" t="s">
        <v>25</v>
      </c>
      <c r="AI15" s="6" t="s">
        <v>25</v>
      </c>
      <c r="AJ15" s="6" t="s">
        <v>36</v>
      </c>
      <c r="AK15" s="6" t="s">
        <v>25</v>
      </c>
      <c r="AL15" s="6" t="s">
        <v>36</v>
      </c>
      <c r="AM15" s="6" t="s">
        <v>25</v>
      </c>
      <c r="AN15" s="6" t="s">
        <v>36</v>
      </c>
      <c r="AO15" s="6" t="s">
        <v>31</v>
      </c>
      <c r="AP15" s="6" t="s">
        <v>423</v>
      </c>
      <c r="AQ15" s="6" t="s">
        <v>442</v>
      </c>
      <c r="AR15" s="6" t="s">
        <v>441</v>
      </c>
      <c r="AS15" s="6" t="s">
        <v>491</v>
      </c>
      <c r="AT15" s="1" t="s">
        <v>440</v>
      </c>
      <c r="AU15" s="6" t="s">
        <v>375</v>
      </c>
      <c r="AV15" s="6" t="s">
        <v>36</v>
      </c>
    </row>
    <row r="16" spans="1:48"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s="11" t="s">
        <v>247</v>
      </c>
      <c r="T16" s="19" t="s">
        <v>551</v>
      </c>
      <c r="U16" t="s">
        <v>303</v>
      </c>
      <c r="V16" s="9" t="s">
        <v>303</v>
      </c>
      <c r="W16" s="11" t="s">
        <v>556</v>
      </c>
      <c r="X16" t="s">
        <v>131</v>
      </c>
      <c r="Y16" t="s">
        <v>31</v>
      </c>
      <c r="Z16" t="s">
        <v>25</v>
      </c>
      <c r="AA16" t="s">
        <v>31</v>
      </c>
      <c r="AB16" t="s">
        <v>31</v>
      </c>
      <c r="AC16" t="s">
        <v>31</v>
      </c>
      <c r="AD16" t="s">
        <v>31</v>
      </c>
      <c r="AE16" t="s">
        <v>31</v>
      </c>
      <c r="AF16" t="s">
        <v>31</v>
      </c>
      <c r="AG16" t="s">
        <v>31</v>
      </c>
      <c r="AH16" s="6" t="s">
        <v>25</v>
      </c>
      <c r="AI16" s="6" t="s">
        <v>25</v>
      </c>
      <c r="AJ16" s="6" t="s">
        <v>36</v>
      </c>
      <c r="AK16" s="6" t="s">
        <v>25</v>
      </c>
      <c r="AL16" s="6" t="s">
        <v>36</v>
      </c>
      <c r="AM16" s="6" t="s">
        <v>25</v>
      </c>
      <c r="AN16" s="6" t="s">
        <v>36</v>
      </c>
      <c r="AO16" s="23" t="s">
        <v>31</v>
      </c>
      <c r="AP16" s="6" t="s">
        <v>36</v>
      </c>
      <c r="AQ16" s="23" t="s">
        <v>590</v>
      </c>
      <c r="AR16" s="6" t="s">
        <v>36</v>
      </c>
      <c r="AS16" s="23" t="s">
        <v>562</v>
      </c>
      <c r="AT16" s="6" t="s">
        <v>36</v>
      </c>
      <c r="AU16" s="6" t="s">
        <v>376</v>
      </c>
      <c r="AV16" s="6" t="s">
        <v>36</v>
      </c>
    </row>
    <row r="17" spans="1:48" x14ac:dyDescent="0.3">
      <c r="A17" s="10" t="s">
        <v>8</v>
      </c>
      <c r="B17" t="s">
        <v>2</v>
      </c>
      <c r="C17" t="s">
        <v>31</v>
      </c>
      <c r="D17" t="s">
        <v>31</v>
      </c>
      <c r="E17" t="s">
        <v>344</v>
      </c>
      <c r="F17" t="s">
        <v>31</v>
      </c>
      <c r="G17" s="1" t="s">
        <v>65</v>
      </c>
      <c r="H17" s="1" t="s">
        <v>66</v>
      </c>
      <c r="I17" t="s">
        <v>31</v>
      </c>
      <c r="J17" t="s">
        <v>31</v>
      </c>
      <c r="K17" s="1" t="s">
        <v>67</v>
      </c>
      <c r="L17" t="s">
        <v>36</v>
      </c>
      <c r="M17" t="s">
        <v>133</v>
      </c>
      <c r="N17" t="s">
        <v>134</v>
      </c>
      <c r="Q17" t="s">
        <v>247</v>
      </c>
      <c r="S17" t="s">
        <v>269</v>
      </c>
      <c r="U17" t="s">
        <v>304</v>
      </c>
      <c r="V17" s="9" t="s">
        <v>304</v>
      </c>
      <c r="W17" t="s">
        <v>328</v>
      </c>
      <c r="X17" t="s">
        <v>134</v>
      </c>
      <c r="Y17" t="s">
        <v>247</v>
      </c>
      <c r="Z17" t="s">
        <v>247</v>
      </c>
      <c r="AA17" t="s">
        <v>31</v>
      </c>
      <c r="AB17" t="s">
        <v>31</v>
      </c>
      <c r="AC17" t="s">
        <v>247</v>
      </c>
      <c r="AD17" t="s">
        <v>247</v>
      </c>
      <c r="AE17" t="s">
        <v>247</v>
      </c>
      <c r="AF17" s="22" t="s">
        <v>31</v>
      </c>
      <c r="AG17" t="s">
        <v>247</v>
      </c>
      <c r="AH17" s="6" t="s">
        <v>25</v>
      </c>
      <c r="AI17" s="6" t="s">
        <v>25</v>
      </c>
      <c r="AJ17" s="6" t="s">
        <v>36</v>
      </c>
      <c r="AK17" s="6" t="s">
        <v>25</v>
      </c>
      <c r="AL17" s="6" t="s">
        <v>36</v>
      </c>
      <c r="AM17" s="6" t="s">
        <v>25</v>
      </c>
      <c r="AN17" s="6" t="s">
        <v>36</v>
      </c>
      <c r="AO17" s="6" t="s">
        <v>31</v>
      </c>
      <c r="AP17" s="6" t="s">
        <v>422</v>
      </c>
      <c r="AQ17" s="6" t="s">
        <v>444</v>
      </c>
      <c r="AR17" s="6" t="s">
        <v>443</v>
      </c>
      <c r="AS17" s="6" t="s">
        <v>486</v>
      </c>
      <c r="AT17" s="1" t="s">
        <v>445</v>
      </c>
      <c r="AU17" s="6" t="s">
        <v>377</v>
      </c>
      <c r="AV17" s="6" t="s">
        <v>36</v>
      </c>
    </row>
    <row r="18" spans="1:48" x14ac:dyDescent="0.3">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U18" t="s">
        <v>291</v>
      </c>
      <c r="V18" s="9" t="s">
        <v>291</v>
      </c>
      <c r="W18" s="11">
        <v>2013</v>
      </c>
      <c r="X18" t="s">
        <v>136</v>
      </c>
      <c r="Y18" t="s">
        <v>31</v>
      </c>
      <c r="Z18" t="s">
        <v>25</v>
      </c>
      <c r="AA18" t="s">
        <v>31</v>
      </c>
      <c r="AB18" t="s">
        <v>25</v>
      </c>
      <c r="AC18" s="22" t="s">
        <v>31</v>
      </c>
      <c r="AD18" s="22" t="s">
        <v>31</v>
      </c>
      <c r="AE18" s="22" t="s">
        <v>31</v>
      </c>
      <c r="AF18" t="s">
        <v>31</v>
      </c>
      <c r="AG18" t="s">
        <v>31</v>
      </c>
      <c r="AH18" s="6" t="s">
        <v>31</v>
      </c>
      <c r="AI18" s="6" t="s">
        <v>31</v>
      </c>
      <c r="AJ18" s="6" t="s">
        <v>354</v>
      </c>
      <c r="AK18" s="6" t="s">
        <v>25</v>
      </c>
      <c r="AL18" s="6" t="s">
        <v>36</v>
      </c>
      <c r="AM18" s="6" t="s">
        <v>25</v>
      </c>
      <c r="AN18" s="6" t="s">
        <v>36</v>
      </c>
      <c r="AO18" s="23" t="s">
        <v>31</v>
      </c>
      <c r="AP18" s="6" t="s">
        <v>36</v>
      </c>
      <c r="AQ18" s="23" t="s">
        <v>591</v>
      </c>
      <c r="AR18" s="6" t="s">
        <v>36</v>
      </c>
      <c r="AS18" s="23" t="s">
        <v>564</v>
      </c>
      <c r="AT18" s="6" t="s">
        <v>36</v>
      </c>
      <c r="AU18" s="6" t="s">
        <v>563</v>
      </c>
      <c r="AV18" s="6" t="s">
        <v>409</v>
      </c>
    </row>
    <row r="19" spans="1:48" x14ac:dyDescent="0.3">
      <c r="A19" t="s">
        <v>11</v>
      </c>
      <c r="B19" t="s">
        <v>10</v>
      </c>
      <c r="C19" t="s">
        <v>31</v>
      </c>
      <c r="D19" t="s">
        <v>31</v>
      </c>
      <c r="E19" t="s">
        <v>31</v>
      </c>
      <c r="F19" t="s">
        <v>31</v>
      </c>
      <c r="G19" s="1" t="s">
        <v>83</v>
      </c>
      <c r="H19" t="s">
        <v>36</v>
      </c>
      <c r="I19" t="s">
        <v>31</v>
      </c>
      <c r="J19" t="s">
        <v>31</v>
      </c>
      <c r="K19" s="1" t="s">
        <v>84</v>
      </c>
      <c r="L19" t="s">
        <v>36</v>
      </c>
      <c r="M19" t="s">
        <v>137</v>
      </c>
      <c r="N19" t="s">
        <v>138</v>
      </c>
      <c r="O19" s="22">
        <v>1</v>
      </c>
      <c r="Q19" t="s">
        <v>36</v>
      </c>
      <c r="S19" t="s">
        <v>341</v>
      </c>
      <c r="U19" t="s">
        <v>305</v>
      </c>
      <c r="V19" s="9" t="s">
        <v>305</v>
      </c>
      <c r="W19" t="s">
        <v>341</v>
      </c>
      <c r="X19" t="s">
        <v>138</v>
      </c>
      <c r="Y19" t="s">
        <v>31</v>
      </c>
      <c r="Z19" s="22" t="s">
        <v>25</v>
      </c>
      <c r="AA19" t="s">
        <v>31</v>
      </c>
      <c r="AB19" s="22" t="s">
        <v>25</v>
      </c>
      <c r="AC19" s="22" t="s">
        <v>31</v>
      </c>
      <c r="AD19" s="22" t="s">
        <v>31</v>
      </c>
      <c r="AE19" s="22" t="s">
        <v>31</v>
      </c>
      <c r="AF19" s="22" t="s">
        <v>31</v>
      </c>
      <c r="AG19" t="s">
        <v>31</v>
      </c>
      <c r="AH19" s="6" t="s">
        <v>25</v>
      </c>
      <c r="AI19" s="6" t="s">
        <v>25</v>
      </c>
      <c r="AJ19" s="6" t="s">
        <v>36</v>
      </c>
      <c r="AK19" s="6" t="s">
        <v>25</v>
      </c>
      <c r="AL19" s="6" t="s">
        <v>36</v>
      </c>
      <c r="AM19" s="6" t="s">
        <v>25</v>
      </c>
      <c r="AN19" s="6" t="s">
        <v>36</v>
      </c>
      <c r="AO19" s="23" t="s">
        <v>31</v>
      </c>
      <c r="AP19" s="6" t="s">
        <v>36</v>
      </c>
      <c r="AQ19" s="23" t="s">
        <v>592</v>
      </c>
      <c r="AR19" s="6" t="s">
        <v>36</v>
      </c>
      <c r="AS19" s="23" t="s">
        <v>565</v>
      </c>
      <c r="AT19" s="6" t="s">
        <v>36</v>
      </c>
      <c r="AU19" s="6" t="s">
        <v>378</v>
      </c>
      <c r="AV19" s="6" t="s">
        <v>410</v>
      </c>
    </row>
    <row r="20" spans="1:48" x14ac:dyDescent="0.3">
      <c r="A20" t="s">
        <v>12</v>
      </c>
      <c r="B20" t="s">
        <v>10</v>
      </c>
      <c r="C20" t="s">
        <v>236</v>
      </c>
      <c r="D20" t="s">
        <v>31</v>
      </c>
      <c r="E20" t="s">
        <v>31</v>
      </c>
      <c r="F20" t="s">
        <v>31</v>
      </c>
      <c r="G20" s="1" t="s">
        <v>85</v>
      </c>
      <c r="H20" s="1" t="s">
        <v>86</v>
      </c>
      <c r="I20" t="s">
        <v>31</v>
      </c>
      <c r="J20" t="s">
        <v>25</v>
      </c>
      <c r="K20" t="s">
        <v>36</v>
      </c>
      <c r="L20" t="s">
        <v>36</v>
      </c>
      <c r="M20" t="s">
        <v>139</v>
      </c>
      <c r="N20" t="s">
        <v>140</v>
      </c>
      <c r="Q20" t="s">
        <v>36</v>
      </c>
      <c r="S20" t="s">
        <v>343</v>
      </c>
      <c r="U20" t="s">
        <v>306</v>
      </c>
      <c r="V20" s="9" t="s">
        <v>306</v>
      </c>
      <c r="W20" t="s">
        <v>342</v>
      </c>
      <c r="X20" t="s">
        <v>140</v>
      </c>
      <c r="Y20" t="s">
        <v>31</v>
      </c>
      <c r="Z20" t="s">
        <v>36</v>
      </c>
      <c r="AA20" t="s">
        <v>31</v>
      </c>
      <c r="AB20" t="s">
        <v>25</v>
      </c>
      <c r="AC20" t="s">
        <v>31</v>
      </c>
      <c r="AD20" t="s">
        <v>247</v>
      </c>
      <c r="AE20" t="s">
        <v>247</v>
      </c>
      <c r="AF20" t="s">
        <v>31</v>
      </c>
      <c r="AG20" t="s">
        <v>31</v>
      </c>
      <c r="AH20" s="6" t="s">
        <v>31</v>
      </c>
      <c r="AI20" s="6" t="s">
        <v>31</v>
      </c>
      <c r="AJ20" s="6" t="s">
        <v>354</v>
      </c>
      <c r="AK20" s="6" t="s">
        <v>25</v>
      </c>
      <c r="AL20" s="6" t="s">
        <v>36</v>
      </c>
      <c r="AM20" s="6" t="s">
        <v>25</v>
      </c>
      <c r="AN20" s="6" t="s">
        <v>36</v>
      </c>
      <c r="AO20" s="6" t="s">
        <v>31</v>
      </c>
      <c r="AP20" s="6" t="s">
        <v>423</v>
      </c>
      <c r="AQ20" s="6" t="s">
        <v>446</v>
      </c>
      <c r="AR20" s="6" t="s">
        <v>310</v>
      </c>
      <c r="AS20" s="6" t="s">
        <v>485</v>
      </c>
      <c r="AT20" s="1" t="s">
        <v>447</v>
      </c>
      <c r="AU20" s="6" t="s">
        <v>379</v>
      </c>
      <c r="AV20" s="6" t="s">
        <v>411</v>
      </c>
    </row>
    <row r="21" spans="1:48" x14ac:dyDescent="0.3">
      <c r="A21" t="s">
        <v>13</v>
      </c>
      <c r="B21" t="s">
        <v>10</v>
      </c>
      <c r="C21" t="s">
        <v>236</v>
      </c>
      <c r="D21" t="s">
        <v>31</v>
      </c>
      <c r="E21" t="s">
        <v>25</v>
      </c>
      <c r="F21" t="s">
        <v>31</v>
      </c>
      <c r="G21" s="1" t="s">
        <v>87</v>
      </c>
      <c r="H21" s="1" t="s">
        <v>88</v>
      </c>
      <c r="I21" t="s">
        <v>31</v>
      </c>
      <c r="J21" t="s">
        <v>25</v>
      </c>
      <c r="K21" t="s">
        <v>36</v>
      </c>
      <c r="L21" t="s">
        <v>36</v>
      </c>
      <c r="M21" t="s">
        <v>141</v>
      </c>
      <c r="N21" t="s">
        <v>142</v>
      </c>
      <c r="Q21" t="s">
        <v>36</v>
      </c>
      <c r="S21" t="s">
        <v>345</v>
      </c>
      <c r="U21" t="s">
        <v>307</v>
      </c>
      <c r="V21" s="9" t="s">
        <v>307</v>
      </c>
      <c r="W21" t="s">
        <v>346</v>
      </c>
      <c r="X21" t="s">
        <v>142</v>
      </c>
      <c r="Y21" t="s">
        <v>31</v>
      </c>
      <c r="Z21" t="s">
        <v>247</v>
      </c>
      <c r="AA21" t="s">
        <v>31</v>
      </c>
      <c r="AB21" t="s">
        <v>31</v>
      </c>
      <c r="AC21" t="s">
        <v>25</v>
      </c>
      <c r="AD21" t="s">
        <v>25</v>
      </c>
      <c r="AE21" t="s">
        <v>36</v>
      </c>
      <c r="AF21" t="s">
        <v>247</v>
      </c>
      <c r="AG21" s="22" t="s">
        <v>31</v>
      </c>
      <c r="AH21" s="6" t="s">
        <v>31</v>
      </c>
      <c r="AI21" s="6" t="s">
        <v>31</v>
      </c>
      <c r="AJ21" s="6" t="s">
        <v>363</v>
      </c>
      <c r="AK21" s="6" t="s">
        <v>25</v>
      </c>
      <c r="AL21" s="6" t="s">
        <v>36</v>
      </c>
      <c r="AM21" s="6" t="s">
        <v>31</v>
      </c>
      <c r="AN21" s="6" t="s">
        <v>371</v>
      </c>
      <c r="AO21" s="6" t="s">
        <v>31</v>
      </c>
      <c r="AP21" s="6" t="s">
        <v>423</v>
      </c>
      <c r="AQ21" s="6" t="s">
        <v>448</v>
      </c>
      <c r="AR21" s="6" t="s">
        <v>449</v>
      </c>
      <c r="AS21" s="6" t="s">
        <v>484</v>
      </c>
      <c r="AT21" s="1" t="s">
        <v>450</v>
      </c>
      <c r="AU21" s="6" t="s">
        <v>380</v>
      </c>
      <c r="AV21" s="6" t="s">
        <v>36</v>
      </c>
    </row>
    <row r="22" spans="1:48" x14ac:dyDescent="0.3">
      <c r="A22" t="s">
        <v>14</v>
      </c>
      <c r="B22" t="s">
        <v>10</v>
      </c>
      <c r="C22" t="s">
        <v>31</v>
      </c>
      <c r="D22" t="s">
        <v>31</v>
      </c>
      <c r="E22" t="s">
        <v>25</v>
      </c>
      <c r="F22" t="s">
        <v>31</v>
      </c>
      <c r="G22" s="1" t="s">
        <v>89</v>
      </c>
      <c r="H22" s="1" t="s">
        <v>90</v>
      </c>
      <c r="I22" t="s">
        <v>31</v>
      </c>
      <c r="J22" t="s">
        <v>31</v>
      </c>
      <c r="K22" s="1" t="s">
        <v>91</v>
      </c>
      <c r="L22" t="s">
        <v>36</v>
      </c>
      <c r="M22" t="s">
        <v>143</v>
      </c>
      <c r="N22" t="s">
        <v>144</v>
      </c>
      <c r="Q22" t="s">
        <v>36</v>
      </c>
      <c r="S22" t="s">
        <v>347</v>
      </c>
      <c r="U22" t="s">
        <v>115</v>
      </c>
      <c r="V22" s="9" t="s">
        <v>115</v>
      </c>
      <c r="W22" t="s">
        <v>336</v>
      </c>
      <c r="X22" t="s">
        <v>144</v>
      </c>
      <c r="Y22" t="s">
        <v>31</v>
      </c>
      <c r="Z22" t="s">
        <v>31</v>
      </c>
      <c r="AA22" t="s">
        <v>31</v>
      </c>
      <c r="AB22" t="s">
        <v>31</v>
      </c>
      <c r="AC22" t="s">
        <v>25</v>
      </c>
      <c r="AD22" t="s">
        <v>25</v>
      </c>
      <c r="AE22" t="s">
        <v>36</v>
      </c>
      <c r="AF22" t="s">
        <v>247</v>
      </c>
      <c r="AG22" t="s">
        <v>31</v>
      </c>
      <c r="AH22" s="6" t="s">
        <v>25</v>
      </c>
      <c r="AI22" s="6" t="s">
        <v>25</v>
      </c>
      <c r="AJ22" s="6" t="s">
        <v>36</v>
      </c>
      <c r="AK22" s="6" t="s">
        <v>25</v>
      </c>
      <c r="AL22" s="6" t="s">
        <v>36</v>
      </c>
      <c r="AM22" s="6" t="s">
        <v>25</v>
      </c>
      <c r="AN22" s="6" t="s">
        <v>36</v>
      </c>
      <c r="AO22" s="6" t="s">
        <v>31</v>
      </c>
      <c r="AP22" s="6" t="s">
        <v>422</v>
      </c>
      <c r="AQ22" s="6" t="s">
        <v>451</v>
      </c>
      <c r="AR22" s="6" t="s">
        <v>452</v>
      </c>
      <c r="AS22" s="6" t="s">
        <v>492</v>
      </c>
      <c r="AT22" s="1" t="s">
        <v>453</v>
      </c>
      <c r="AU22" s="6" t="s">
        <v>381</v>
      </c>
      <c r="AV22" s="6" t="s">
        <v>36</v>
      </c>
    </row>
    <row r="23" spans="1:48" x14ac:dyDescent="0.3">
      <c r="A23" t="s">
        <v>15</v>
      </c>
      <c r="B23" t="s">
        <v>10</v>
      </c>
      <c r="C23" t="s">
        <v>31</v>
      </c>
      <c r="D23" t="s">
        <v>31</v>
      </c>
      <c r="E23" t="s">
        <v>25</v>
      </c>
      <c r="F23" t="s">
        <v>31</v>
      </c>
      <c r="G23" s="1" t="s">
        <v>92</v>
      </c>
      <c r="H23" t="s">
        <v>36</v>
      </c>
      <c r="I23" t="s">
        <v>31</v>
      </c>
      <c r="J23" t="s">
        <v>94</v>
      </c>
      <c r="K23" s="1" t="s">
        <v>93</v>
      </c>
      <c r="L23" t="s">
        <v>36</v>
      </c>
      <c r="M23" t="s">
        <v>143</v>
      </c>
      <c r="N23" t="s">
        <v>144</v>
      </c>
      <c r="Q23" t="s">
        <v>36</v>
      </c>
      <c r="S23" t="s">
        <v>347</v>
      </c>
      <c r="U23" t="s">
        <v>308</v>
      </c>
      <c r="V23" s="9" t="s">
        <v>308</v>
      </c>
      <c r="W23" t="s">
        <v>336</v>
      </c>
      <c r="X23" t="s">
        <v>144</v>
      </c>
      <c r="Y23" t="s">
        <v>31</v>
      </c>
      <c r="Z23" t="s">
        <v>31</v>
      </c>
      <c r="AA23" t="s">
        <v>31</v>
      </c>
      <c r="AB23" t="s">
        <v>31</v>
      </c>
      <c r="AC23" t="s">
        <v>25</v>
      </c>
      <c r="AD23" t="s">
        <v>25</v>
      </c>
      <c r="AE23" t="s">
        <v>36</v>
      </c>
      <c r="AF23" t="s">
        <v>247</v>
      </c>
      <c r="AG23" t="s">
        <v>31</v>
      </c>
      <c r="AH23" s="6" t="s">
        <v>25</v>
      </c>
      <c r="AI23" s="6" t="s">
        <v>25</v>
      </c>
      <c r="AJ23" s="6" t="s">
        <v>36</v>
      </c>
      <c r="AK23" s="6" t="s">
        <v>25</v>
      </c>
      <c r="AL23" s="6" t="s">
        <v>36</v>
      </c>
      <c r="AM23" s="6" t="s">
        <v>25</v>
      </c>
      <c r="AN23" s="6" t="s">
        <v>36</v>
      </c>
      <c r="AO23" s="6" t="s">
        <v>31</v>
      </c>
      <c r="AP23" s="6" t="s">
        <v>423</v>
      </c>
      <c r="AQ23" s="6" t="s">
        <v>572</v>
      </c>
      <c r="AR23" s="6" t="s">
        <v>570</v>
      </c>
      <c r="AS23" s="6" t="s">
        <v>573</v>
      </c>
      <c r="AT23" s="1" t="s">
        <v>571</v>
      </c>
      <c r="AU23" s="6" t="s">
        <v>412</v>
      </c>
      <c r="AV23" s="6" t="s">
        <v>413</v>
      </c>
    </row>
    <row r="24" spans="1:48" x14ac:dyDescent="0.3">
      <c r="A24" t="s">
        <v>16</v>
      </c>
      <c r="B24" t="s">
        <v>10</v>
      </c>
      <c r="C24" t="s">
        <v>236</v>
      </c>
      <c r="D24" t="s">
        <v>31</v>
      </c>
      <c r="E24" t="s">
        <v>25</v>
      </c>
      <c r="F24" t="s">
        <v>31</v>
      </c>
      <c r="G24" s="1" t="s">
        <v>95</v>
      </c>
      <c r="H24" s="1" t="s">
        <v>96</v>
      </c>
      <c r="I24" t="s">
        <v>31</v>
      </c>
      <c r="J24" t="s">
        <v>25</v>
      </c>
      <c r="K24" t="s">
        <v>36</v>
      </c>
      <c r="L24" t="s">
        <v>36</v>
      </c>
      <c r="M24" t="s">
        <v>145</v>
      </c>
      <c r="N24" t="s">
        <v>146</v>
      </c>
      <c r="Q24" t="s">
        <v>36</v>
      </c>
      <c r="S24" t="s">
        <v>314</v>
      </c>
      <c r="U24" t="s">
        <v>309</v>
      </c>
      <c r="V24" s="9" t="s">
        <v>309</v>
      </c>
      <c r="W24" t="s">
        <v>336</v>
      </c>
      <c r="X24" t="s">
        <v>146</v>
      </c>
      <c r="Y24" t="s">
        <v>31</v>
      </c>
      <c r="Z24" s="22" t="s">
        <v>31</v>
      </c>
      <c r="AA24" t="s">
        <v>31</v>
      </c>
      <c r="AB24" t="s">
        <v>25</v>
      </c>
      <c r="AC24" t="s">
        <v>36</v>
      </c>
      <c r="AD24" t="s">
        <v>36</v>
      </c>
      <c r="AE24" t="s">
        <v>36</v>
      </c>
      <c r="AF24" t="s">
        <v>247</v>
      </c>
      <c r="AG24" t="s">
        <v>31</v>
      </c>
      <c r="AH24" s="6" t="s">
        <v>25</v>
      </c>
      <c r="AI24" s="6" t="s">
        <v>25</v>
      </c>
      <c r="AJ24" s="6" t="s">
        <v>36</v>
      </c>
      <c r="AK24" s="6" t="s">
        <v>25</v>
      </c>
      <c r="AL24" s="6" t="s">
        <v>36</v>
      </c>
      <c r="AM24" s="6" t="s">
        <v>25</v>
      </c>
      <c r="AN24" s="6" t="s">
        <v>36</v>
      </c>
      <c r="AO24" s="6" t="s">
        <v>31</v>
      </c>
      <c r="AP24" s="6" t="s">
        <v>425</v>
      </c>
      <c r="AQ24" s="6" t="s">
        <v>566</v>
      </c>
      <c r="AR24" s="6" t="s">
        <v>568</v>
      </c>
      <c r="AS24" s="6" t="s">
        <v>569</v>
      </c>
      <c r="AT24" s="1" t="s">
        <v>567</v>
      </c>
      <c r="AU24" s="6" t="s">
        <v>382</v>
      </c>
      <c r="AV24" s="6" t="s">
        <v>413</v>
      </c>
    </row>
    <row r="25" spans="1:48" x14ac:dyDescent="0.3">
      <c r="A25" t="s">
        <v>17</v>
      </c>
      <c r="B25" t="s">
        <v>10</v>
      </c>
      <c r="C25" t="s">
        <v>250</v>
      </c>
      <c r="D25" t="s">
        <v>31</v>
      </c>
      <c r="E25" t="s">
        <v>25</v>
      </c>
      <c r="F25" t="s">
        <v>31</v>
      </c>
      <c r="G25" s="1" t="s">
        <v>97</v>
      </c>
      <c r="H25" s="1" t="s">
        <v>98</v>
      </c>
      <c r="I25" t="s">
        <v>31</v>
      </c>
      <c r="J25" t="s">
        <v>25</v>
      </c>
      <c r="K25" t="s">
        <v>36</v>
      </c>
      <c r="L25" t="s">
        <v>36</v>
      </c>
      <c r="M25" t="s">
        <v>147</v>
      </c>
      <c r="N25" t="s">
        <v>148</v>
      </c>
      <c r="Q25" t="s">
        <v>36</v>
      </c>
      <c r="S25" t="s">
        <v>345</v>
      </c>
      <c r="U25" t="s">
        <v>310</v>
      </c>
      <c r="V25" s="9" t="s">
        <v>310</v>
      </c>
      <c r="W25" t="s">
        <v>340</v>
      </c>
      <c r="X25" t="s">
        <v>148</v>
      </c>
      <c r="Y25" t="s">
        <v>31</v>
      </c>
      <c r="Z25" t="s">
        <v>31</v>
      </c>
      <c r="AA25" t="s">
        <v>31</v>
      </c>
      <c r="AB25" t="s">
        <v>31</v>
      </c>
      <c r="AC25" t="s">
        <v>25</v>
      </c>
      <c r="AD25" s="22" t="s">
        <v>25</v>
      </c>
      <c r="AE25" s="22" t="s">
        <v>25</v>
      </c>
      <c r="AF25" t="s">
        <v>247</v>
      </c>
      <c r="AG25" t="s">
        <v>31</v>
      </c>
      <c r="AH25" s="6" t="s">
        <v>31</v>
      </c>
      <c r="AI25" s="6" t="s">
        <v>31</v>
      </c>
      <c r="AJ25" s="6" t="s">
        <v>383</v>
      </c>
      <c r="AK25" s="6" t="s">
        <v>25</v>
      </c>
      <c r="AL25" s="6" t="s">
        <v>36</v>
      </c>
      <c r="AM25" s="6" t="s">
        <v>25</v>
      </c>
      <c r="AN25" s="6" t="s">
        <v>36</v>
      </c>
      <c r="AO25" s="6" t="s">
        <v>31</v>
      </c>
      <c r="AP25" s="6" t="s">
        <v>423</v>
      </c>
      <c r="AQ25" s="6" t="s">
        <v>448</v>
      </c>
      <c r="AR25" s="6" t="s">
        <v>449</v>
      </c>
      <c r="AS25" s="6" t="s">
        <v>484</v>
      </c>
      <c r="AT25" s="1" t="s">
        <v>454</v>
      </c>
      <c r="AU25" s="6" t="s">
        <v>380</v>
      </c>
      <c r="AV25" s="6" t="s">
        <v>36</v>
      </c>
    </row>
    <row r="26" spans="1:48" x14ac:dyDescent="0.3">
      <c r="A26" t="s">
        <v>18</v>
      </c>
      <c r="B26" t="s">
        <v>10</v>
      </c>
      <c r="C26" t="s">
        <v>44</v>
      </c>
      <c r="D26" t="s">
        <v>31</v>
      </c>
      <c r="E26" t="s">
        <v>31</v>
      </c>
      <c r="F26" t="s">
        <v>31</v>
      </c>
      <c r="G26" s="1" t="s">
        <v>99</v>
      </c>
      <c r="H26" s="1" t="s">
        <v>100</v>
      </c>
      <c r="I26" t="s">
        <v>31</v>
      </c>
      <c r="J26" t="s">
        <v>25</v>
      </c>
      <c r="K26" t="s">
        <v>36</v>
      </c>
      <c r="L26" t="s">
        <v>36</v>
      </c>
      <c r="M26" t="s">
        <v>149</v>
      </c>
      <c r="N26" t="s">
        <v>150</v>
      </c>
      <c r="Q26" t="s">
        <v>36</v>
      </c>
      <c r="S26" s="19" t="s">
        <v>348</v>
      </c>
      <c r="W26" t="s">
        <v>247</v>
      </c>
      <c r="X26" t="s">
        <v>150</v>
      </c>
      <c r="Y26" t="s">
        <v>31</v>
      </c>
      <c r="Z26" t="s">
        <v>25</v>
      </c>
      <c r="AA26" t="s">
        <v>31</v>
      </c>
      <c r="AB26" t="s">
        <v>25</v>
      </c>
      <c r="AC26" t="s">
        <v>31</v>
      </c>
      <c r="AD26" t="s">
        <v>31</v>
      </c>
      <c r="AE26" t="s">
        <v>31</v>
      </c>
      <c r="AF26" t="s">
        <v>247</v>
      </c>
      <c r="AG26" t="s">
        <v>247</v>
      </c>
      <c r="AH26" s="6" t="s">
        <v>25</v>
      </c>
      <c r="AI26" s="6" t="s">
        <v>25</v>
      </c>
      <c r="AJ26" s="6" t="s">
        <v>36</v>
      </c>
      <c r="AK26" s="6" t="s">
        <v>25</v>
      </c>
      <c r="AL26" s="6" t="s">
        <v>36</v>
      </c>
      <c r="AM26" s="6" t="s">
        <v>25</v>
      </c>
      <c r="AN26" s="6" t="s">
        <v>36</v>
      </c>
      <c r="AO26" s="6" t="s">
        <v>247</v>
      </c>
      <c r="AP26" s="6" t="s">
        <v>247</v>
      </c>
      <c r="AQ26" s="6" t="s">
        <v>247</v>
      </c>
      <c r="AR26" s="6" t="s">
        <v>247</v>
      </c>
      <c r="AS26" s="6" t="s">
        <v>247</v>
      </c>
      <c r="AT26" s="6" t="s">
        <v>247</v>
      </c>
      <c r="AU26" s="6" t="s">
        <v>247</v>
      </c>
      <c r="AV26" s="6" t="s">
        <v>247</v>
      </c>
    </row>
    <row r="27" spans="1:48" x14ac:dyDescent="0.3">
      <c r="A27" t="s">
        <v>19</v>
      </c>
      <c r="B27" t="s">
        <v>10</v>
      </c>
      <c r="C27" t="s">
        <v>236</v>
      </c>
      <c r="D27" t="s">
        <v>31</v>
      </c>
      <c r="E27" t="s">
        <v>31</v>
      </c>
      <c r="F27" t="s">
        <v>31</v>
      </c>
      <c r="G27" s="1" t="s">
        <v>101</v>
      </c>
      <c r="H27" s="1" t="s">
        <v>102</v>
      </c>
      <c r="I27" t="s">
        <v>31</v>
      </c>
      <c r="J27" t="s">
        <v>25</v>
      </c>
      <c r="K27" t="s">
        <v>36</v>
      </c>
      <c r="L27" t="s">
        <v>36</v>
      </c>
      <c r="M27" t="s">
        <v>151</v>
      </c>
      <c r="N27" t="s">
        <v>152</v>
      </c>
      <c r="Q27" t="s">
        <v>36</v>
      </c>
      <c r="S27" s="19" t="s">
        <v>553</v>
      </c>
      <c r="U27" t="s">
        <v>304</v>
      </c>
      <c r="V27" s="9" t="s">
        <v>304</v>
      </c>
      <c r="W27" t="s">
        <v>328</v>
      </c>
      <c r="X27" t="s">
        <v>152</v>
      </c>
      <c r="Y27" s="19" t="s">
        <v>36</v>
      </c>
      <c r="Z27" s="22" t="s">
        <v>25</v>
      </c>
      <c r="AA27" t="s">
        <v>31</v>
      </c>
      <c r="AB27" t="s">
        <v>25</v>
      </c>
      <c r="AC27" t="s">
        <v>36</v>
      </c>
      <c r="AD27" t="s">
        <v>36</v>
      </c>
      <c r="AE27" t="s">
        <v>36</v>
      </c>
      <c r="AF27" t="s">
        <v>31</v>
      </c>
      <c r="AG27" s="22" t="s">
        <v>31</v>
      </c>
      <c r="AH27" s="6" t="s">
        <v>31</v>
      </c>
      <c r="AI27" s="6" t="s">
        <v>31</v>
      </c>
      <c r="AJ27" s="6" t="s">
        <v>400</v>
      </c>
      <c r="AK27" s="6" t="s">
        <v>25</v>
      </c>
      <c r="AL27" s="6" t="s">
        <v>36</v>
      </c>
      <c r="AM27" s="6" t="s">
        <v>25</v>
      </c>
      <c r="AN27" s="6" t="s">
        <v>36</v>
      </c>
      <c r="AO27" s="23" t="s">
        <v>31</v>
      </c>
      <c r="AP27" s="6" t="s">
        <v>36</v>
      </c>
      <c r="AQ27" s="23" t="s">
        <v>575</v>
      </c>
      <c r="AR27" s="6" t="s">
        <v>36</v>
      </c>
      <c r="AS27" s="23" t="s">
        <v>574</v>
      </c>
      <c r="AT27" s="6" t="s">
        <v>36</v>
      </c>
      <c r="AU27" s="6" t="s">
        <v>424</v>
      </c>
      <c r="AV27" s="6" t="s">
        <v>36</v>
      </c>
    </row>
    <row r="28" spans="1:48" x14ac:dyDescent="0.3">
      <c r="A28" t="s">
        <v>24</v>
      </c>
      <c r="B28" t="s">
        <v>21</v>
      </c>
      <c r="C28" t="s">
        <v>31</v>
      </c>
      <c r="D28" t="s">
        <v>31</v>
      </c>
      <c r="E28" t="s">
        <v>31</v>
      </c>
      <c r="F28" t="s">
        <v>25</v>
      </c>
      <c r="G28" t="s">
        <v>36</v>
      </c>
      <c r="H28" t="s">
        <v>36</v>
      </c>
      <c r="J28" t="s">
        <v>31</v>
      </c>
      <c r="K28" s="1" t="s">
        <v>109</v>
      </c>
      <c r="L28" t="s">
        <v>36</v>
      </c>
      <c r="M28" t="s">
        <v>156</v>
      </c>
      <c r="N28" t="s">
        <v>157</v>
      </c>
      <c r="Q28" t="s">
        <v>36</v>
      </c>
      <c r="S28" t="s">
        <v>332</v>
      </c>
      <c r="U28" t="s">
        <v>312</v>
      </c>
      <c r="V28" s="9" t="s">
        <v>312</v>
      </c>
      <c r="W28" s="11" t="s">
        <v>332</v>
      </c>
      <c r="X28" t="s">
        <v>157</v>
      </c>
      <c r="Y28" t="s">
        <v>31</v>
      </c>
      <c r="Z28" t="s">
        <v>25</v>
      </c>
      <c r="AA28" t="s">
        <v>31</v>
      </c>
      <c r="AB28" t="s">
        <v>25</v>
      </c>
      <c r="AC28" t="s">
        <v>36</v>
      </c>
      <c r="AD28" t="s">
        <v>36</v>
      </c>
      <c r="AE28" t="s">
        <v>36</v>
      </c>
      <c r="AF28" t="s">
        <v>247</v>
      </c>
      <c r="AG28" t="s">
        <v>247</v>
      </c>
      <c r="AH28" s="6" t="s">
        <v>25</v>
      </c>
      <c r="AI28" s="6" t="s">
        <v>25</v>
      </c>
      <c r="AJ28" s="6" t="s">
        <v>36</v>
      </c>
      <c r="AK28" s="6" t="s">
        <v>25</v>
      </c>
      <c r="AL28" s="6" t="s">
        <v>36</v>
      </c>
      <c r="AM28" s="6" t="s">
        <v>25</v>
      </c>
      <c r="AN28" s="6" t="s">
        <v>36</v>
      </c>
      <c r="AO28" s="6" t="s">
        <v>31</v>
      </c>
      <c r="AP28" s="6" t="s">
        <v>422</v>
      </c>
      <c r="AQ28" s="6" t="s">
        <v>455</v>
      </c>
      <c r="AR28" s="6" t="s">
        <v>456</v>
      </c>
      <c r="AS28" s="6" t="s">
        <v>155</v>
      </c>
      <c r="AT28" s="1" t="s">
        <v>457</v>
      </c>
      <c r="AU28" s="6" t="s">
        <v>385</v>
      </c>
      <c r="AV28" s="6" t="s">
        <v>36</v>
      </c>
    </row>
    <row r="29" spans="1:48" x14ac:dyDescent="0.3">
      <c r="A29" t="s">
        <v>161</v>
      </c>
      <c r="B29" t="s">
        <v>10</v>
      </c>
      <c r="C29" t="s">
        <v>44</v>
      </c>
      <c r="D29" t="s">
        <v>31</v>
      </c>
      <c r="E29" t="s">
        <v>31</v>
      </c>
      <c r="F29" t="s">
        <v>31</v>
      </c>
      <c r="G29" s="1" t="s">
        <v>196</v>
      </c>
      <c r="H29" s="1" t="s">
        <v>197</v>
      </c>
      <c r="I29" t="s">
        <v>31</v>
      </c>
      <c r="J29" t="s">
        <v>25</v>
      </c>
      <c r="K29" t="s">
        <v>36</v>
      </c>
      <c r="L29" t="s">
        <v>36</v>
      </c>
      <c r="M29" t="s">
        <v>251</v>
      </c>
      <c r="N29" t="s">
        <v>192</v>
      </c>
      <c r="Q29" t="s">
        <v>36</v>
      </c>
      <c r="S29" t="s">
        <v>247</v>
      </c>
      <c r="U29" t="s">
        <v>251</v>
      </c>
      <c r="V29" s="9" t="s">
        <v>251</v>
      </c>
      <c r="W29" t="s">
        <v>247</v>
      </c>
      <c r="X29" t="s">
        <v>192</v>
      </c>
      <c r="Y29" t="s">
        <v>31</v>
      </c>
      <c r="Z29" t="s">
        <v>25</v>
      </c>
      <c r="AA29" t="s">
        <v>31</v>
      </c>
      <c r="AB29" t="s">
        <v>25</v>
      </c>
      <c r="AC29" t="s">
        <v>36</v>
      </c>
      <c r="AD29" t="s">
        <v>36</v>
      </c>
      <c r="AE29" t="s">
        <v>36</v>
      </c>
      <c r="AF29" t="s">
        <v>247</v>
      </c>
      <c r="AG29" t="s">
        <v>247</v>
      </c>
      <c r="AH29" s="6" t="s">
        <v>31</v>
      </c>
      <c r="AI29" s="6" t="s">
        <v>31</v>
      </c>
      <c r="AJ29" s="6" t="s">
        <v>387</v>
      </c>
      <c r="AK29" s="6" t="s">
        <v>25</v>
      </c>
      <c r="AL29" s="6" t="s">
        <v>36</v>
      </c>
      <c r="AM29" s="6" t="s">
        <v>25</v>
      </c>
      <c r="AN29" s="6" t="s">
        <v>36</v>
      </c>
      <c r="AO29" s="23" t="s">
        <v>31</v>
      </c>
      <c r="AP29" s="6" t="s">
        <v>36</v>
      </c>
      <c r="AQ29" s="23" t="s">
        <v>576</v>
      </c>
      <c r="AR29" s="6" t="s">
        <v>36</v>
      </c>
      <c r="AS29" s="23" t="s">
        <v>462</v>
      </c>
      <c r="AT29" s="6" t="s">
        <v>36</v>
      </c>
      <c r="AU29" s="6" t="s">
        <v>386</v>
      </c>
      <c r="AV29" s="6" t="s">
        <v>36</v>
      </c>
    </row>
    <row r="30" spans="1:48" x14ac:dyDescent="0.3">
      <c r="A30" t="s">
        <v>163</v>
      </c>
      <c r="B30" t="s">
        <v>10</v>
      </c>
      <c r="C30" t="s">
        <v>236</v>
      </c>
      <c r="D30" t="s">
        <v>31</v>
      </c>
      <c r="E30" t="s">
        <v>25</v>
      </c>
      <c r="F30" t="s">
        <v>31</v>
      </c>
      <c r="G30" s="1" t="s">
        <v>198</v>
      </c>
      <c r="H30" s="1" t="s">
        <v>199</v>
      </c>
      <c r="I30" t="s">
        <v>31</v>
      </c>
      <c r="J30" t="s">
        <v>25</v>
      </c>
      <c r="K30" t="s">
        <v>36</v>
      </c>
      <c r="L30" t="s">
        <v>36</v>
      </c>
      <c r="M30" t="s">
        <v>263</v>
      </c>
      <c r="N30" t="s">
        <v>212</v>
      </c>
      <c r="Q30" t="s">
        <v>36</v>
      </c>
      <c r="S30" t="s">
        <v>547</v>
      </c>
      <c r="U30" t="s">
        <v>263</v>
      </c>
      <c r="V30" s="9" t="s">
        <v>263</v>
      </c>
      <c r="W30" t="s">
        <v>547</v>
      </c>
      <c r="X30" t="s">
        <v>212</v>
      </c>
      <c r="Y30" t="s">
        <v>31</v>
      </c>
      <c r="Z30" t="s">
        <v>31</v>
      </c>
      <c r="AA30" t="s">
        <v>31</v>
      </c>
      <c r="AB30" t="s">
        <v>31</v>
      </c>
      <c r="AC30" t="s">
        <v>25</v>
      </c>
      <c r="AD30" t="s">
        <v>25</v>
      </c>
      <c r="AE30" t="s">
        <v>36</v>
      </c>
      <c r="AF30" t="s">
        <v>247</v>
      </c>
      <c r="AG30" t="s">
        <v>247</v>
      </c>
      <c r="AH30" s="6" t="s">
        <v>25</v>
      </c>
      <c r="AI30" s="6" t="s">
        <v>25</v>
      </c>
      <c r="AJ30" s="6" t="s">
        <v>36</v>
      </c>
      <c r="AK30" s="6" t="s">
        <v>25</v>
      </c>
      <c r="AL30" s="6" t="s">
        <v>36</v>
      </c>
      <c r="AM30" s="6" t="s">
        <v>25</v>
      </c>
      <c r="AN30" s="6" t="s">
        <v>36</v>
      </c>
      <c r="AO30" s="6" t="s">
        <v>31</v>
      </c>
      <c r="AP30" s="6" t="s">
        <v>422</v>
      </c>
      <c r="AQ30" s="6" t="s">
        <v>460</v>
      </c>
      <c r="AR30" s="6" t="s">
        <v>459</v>
      </c>
      <c r="AS30" s="6" t="s">
        <v>482</v>
      </c>
      <c r="AT30" s="1" t="s">
        <v>458</v>
      </c>
      <c r="AU30" s="6" t="s">
        <v>388</v>
      </c>
      <c r="AV30" s="6" t="s">
        <v>414</v>
      </c>
    </row>
    <row r="31" spans="1:48" x14ac:dyDescent="0.3">
      <c r="A31" t="s">
        <v>164</v>
      </c>
      <c r="B31" t="s">
        <v>10</v>
      </c>
      <c r="C31" t="s">
        <v>31</v>
      </c>
      <c r="D31" t="s">
        <v>31</v>
      </c>
      <c r="E31" t="s">
        <v>31</v>
      </c>
      <c r="F31" t="s">
        <v>31</v>
      </c>
      <c r="G31" s="1" t="s">
        <v>200</v>
      </c>
      <c r="H31" s="1" t="s">
        <v>201</v>
      </c>
      <c r="I31" t="s">
        <v>31</v>
      </c>
      <c r="J31" t="s">
        <v>31</v>
      </c>
      <c r="K31" s="1" t="s">
        <v>202</v>
      </c>
      <c r="L31" t="s">
        <v>36</v>
      </c>
      <c r="M31" t="s">
        <v>253</v>
      </c>
      <c r="N31" t="s">
        <v>213</v>
      </c>
      <c r="O31">
        <v>1</v>
      </c>
      <c r="Q31" t="s">
        <v>36</v>
      </c>
      <c r="S31" t="s">
        <v>135</v>
      </c>
      <c r="U31" t="s">
        <v>253</v>
      </c>
      <c r="V31" s="9" t="s">
        <v>253</v>
      </c>
      <c r="W31" t="s">
        <v>546</v>
      </c>
      <c r="X31" t="s">
        <v>213</v>
      </c>
      <c r="Y31" t="s">
        <v>31</v>
      </c>
      <c r="Z31" t="s">
        <v>25</v>
      </c>
      <c r="AA31" t="s">
        <v>31</v>
      </c>
      <c r="AB31" t="s">
        <v>25</v>
      </c>
      <c r="AC31" s="22" t="s">
        <v>31</v>
      </c>
      <c r="AD31" t="s">
        <v>31</v>
      </c>
      <c r="AE31" t="s">
        <v>36</v>
      </c>
      <c r="AF31" t="s">
        <v>247</v>
      </c>
      <c r="AG31" t="s">
        <v>31</v>
      </c>
      <c r="AH31" s="6" t="s">
        <v>31</v>
      </c>
      <c r="AI31" s="6" t="s">
        <v>31</v>
      </c>
      <c r="AJ31" s="6" t="s">
        <v>247</v>
      </c>
      <c r="AK31" s="6" t="s">
        <v>25</v>
      </c>
      <c r="AL31" s="6" t="s">
        <v>36</v>
      </c>
      <c r="AM31" s="6" t="s">
        <v>25</v>
      </c>
      <c r="AN31" s="6" t="s">
        <v>36</v>
      </c>
      <c r="AO31" s="23" t="s">
        <v>31</v>
      </c>
      <c r="AP31" s="6" t="s">
        <v>36</v>
      </c>
      <c r="AQ31" s="23" t="s">
        <v>577</v>
      </c>
      <c r="AR31" s="6" t="s">
        <v>36</v>
      </c>
      <c r="AS31" s="23" t="s">
        <v>559</v>
      </c>
      <c r="AT31" s="6" t="s">
        <v>36</v>
      </c>
      <c r="AU31" s="6" t="s">
        <v>362</v>
      </c>
      <c r="AV31" s="6" t="s">
        <v>415</v>
      </c>
    </row>
    <row r="32" spans="1:48" x14ac:dyDescent="0.3">
      <c r="A32" t="s">
        <v>165</v>
      </c>
      <c r="B32" t="s">
        <v>21</v>
      </c>
      <c r="C32" t="s">
        <v>31</v>
      </c>
      <c r="D32" t="s">
        <v>31</v>
      </c>
      <c r="E32" t="s">
        <v>31</v>
      </c>
      <c r="F32" t="s">
        <v>31</v>
      </c>
      <c r="G32" s="1" t="s">
        <v>203</v>
      </c>
      <c r="H32" s="1" t="s">
        <v>204</v>
      </c>
      <c r="I32" t="s">
        <v>31</v>
      </c>
      <c r="J32" t="s">
        <v>31</v>
      </c>
      <c r="K32" s="1" t="s">
        <v>208</v>
      </c>
      <c r="L32" t="s">
        <v>166</v>
      </c>
      <c r="M32" t="s">
        <v>254</v>
      </c>
      <c r="N32" t="s">
        <v>214</v>
      </c>
      <c r="Q32" t="s">
        <v>36</v>
      </c>
      <c r="S32" t="s">
        <v>247</v>
      </c>
      <c r="W32" t="s">
        <v>247</v>
      </c>
      <c r="X32" t="s">
        <v>214</v>
      </c>
      <c r="Y32" t="s">
        <v>31</v>
      </c>
      <c r="Z32" t="s">
        <v>25</v>
      </c>
      <c r="AA32" t="s">
        <v>31</v>
      </c>
      <c r="AB32" t="s">
        <v>25</v>
      </c>
      <c r="AC32" t="s">
        <v>36</v>
      </c>
      <c r="AD32" t="s">
        <v>36</v>
      </c>
      <c r="AE32" t="s">
        <v>36</v>
      </c>
      <c r="AF32" t="s">
        <v>247</v>
      </c>
      <c r="AG32" s="22" t="s">
        <v>31</v>
      </c>
      <c r="AH32" s="6" t="s">
        <v>25</v>
      </c>
      <c r="AI32" s="6" t="s">
        <v>25</v>
      </c>
      <c r="AJ32" s="6" t="s">
        <v>36</v>
      </c>
      <c r="AK32" s="6" t="s">
        <v>25</v>
      </c>
      <c r="AL32" s="6" t="s">
        <v>36</v>
      </c>
      <c r="AM32" s="6" t="s">
        <v>25</v>
      </c>
      <c r="AN32" s="6" t="s">
        <v>36</v>
      </c>
      <c r="AO32" s="23" t="s">
        <v>31</v>
      </c>
      <c r="AP32" s="6" t="s">
        <v>36</v>
      </c>
      <c r="AQ32" s="23" t="s">
        <v>579</v>
      </c>
      <c r="AR32" s="6" t="s">
        <v>36</v>
      </c>
      <c r="AS32" s="23" t="s">
        <v>578</v>
      </c>
      <c r="AT32" s="6" t="s">
        <v>36</v>
      </c>
      <c r="AU32" s="6" t="s">
        <v>389</v>
      </c>
      <c r="AV32" s="6" t="s">
        <v>36</v>
      </c>
    </row>
    <row r="33" spans="1:48" x14ac:dyDescent="0.3">
      <c r="A33" t="s">
        <v>168</v>
      </c>
      <c r="B33" t="s">
        <v>21</v>
      </c>
      <c r="C33" t="s">
        <v>31</v>
      </c>
      <c r="D33" t="s">
        <v>31</v>
      </c>
      <c r="E33" t="s">
        <v>31</v>
      </c>
      <c r="F33" t="s">
        <v>31</v>
      </c>
      <c r="G33" s="1" t="s">
        <v>216</v>
      </c>
      <c r="H33" s="1" t="s">
        <v>217</v>
      </c>
      <c r="I33" t="s">
        <v>31</v>
      </c>
      <c r="J33" t="s">
        <v>31</v>
      </c>
      <c r="K33" s="1" t="s">
        <v>218</v>
      </c>
      <c r="L33" t="s">
        <v>36</v>
      </c>
      <c r="M33" t="s">
        <v>255</v>
      </c>
      <c r="N33" t="s">
        <v>215</v>
      </c>
      <c r="Q33" t="s">
        <v>36</v>
      </c>
      <c r="S33" t="s">
        <v>247</v>
      </c>
      <c r="W33" t="s">
        <v>247</v>
      </c>
      <c r="X33" t="s">
        <v>215</v>
      </c>
      <c r="Y33" t="s">
        <v>31</v>
      </c>
      <c r="Z33" t="s">
        <v>25</v>
      </c>
      <c r="AA33" t="s">
        <v>31</v>
      </c>
      <c r="AB33" t="s">
        <v>25</v>
      </c>
      <c r="AC33" t="s">
        <v>36</v>
      </c>
      <c r="AD33" t="s">
        <v>36</v>
      </c>
      <c r="AE33" t="s">
        <v>36</v>
      </c>
      <c r="AF33" t="s">
        <v>247</v>
      </c>
      <c r="AG33" t="s">
        <v>247</v>
      </c>
      <c r="AH33" s="6" t="s">
        <v>25</v>
      </c>
      <c r="AI33" s="6" t="s">
        <v>25</v>
      </c>
      <c r="AJ33" s="6" t="s">
        <v>36</v>
      </c>
      <c r="AK33" s="6" t="s">
        <v>25</v>
      </c>
      <c r="AL33" s="6" t="s">
        <v>36</v>
      </c>
      <c r="AM33" s="6" t="s">
        <v>25</v>
      </c>
      <c r="AN33" s="6" t="s">
        <v>36</v>
      </c>
      <c r="AO33" s="6" t="s">
        <v>31</v>
      </c>
      <c r="AP33" s="6" t="s">
        <v>425</v>
      </c>
      <c r="AQ33" s="6" t="s">
        <v>461</v>
      </c>
      <c r="AR33" s="6" t="s">
        <v>462</v>
      </c>
      <c r="AS33" s="6" t="s">
        <v>493</v>
      </c>
      <c r="AT33" s="1" t="s">
        <v>463</v>
      </c>
      <c r="AU33" s="6" t="s">
        <v>390</v>
      </c>
      <c r="AV33" s="6" t="s">
        <v>36</v>
      </c>
    </row>
    <row r="34" spans="1:48" x14ac:dyDescent="0.3">
      <c r="A34" t="s">
        <v>169</v>
      </c>
      <c r="B34" t="s">
        <v>21</v>
      </c>
      <c r="C34" t="s">
        <v>31</v>
      </c>
      <c r="D34" t="s">
        <v>31</v>
      </c>
      <c r="E34" t="s">
        <v>31</v>
      </c>
      <c r="F34" t="s">
        <v>31</v>
      </c>
      <c r="G34" s="1" t="s">
        <v>221</v>
      </c>
      <c r="H34" s="1" t="s">
        <v>222</v>
      </c>
      <c r="I34" t="s">
        <v>31</v>
      </c>
      <c r="J34" t="s">
        <v>31</v>
      </c>
      <c r="K34" s="1" t="s">
        <v>219</v>
      </c>
      <c r="L34" t="s">
        <v>36</v>
      </c>
      <c r="M34" t="s">
        <v>555</v>
      </c>
      <c r="N34" t="s">
        <v>220</v>
      </c>
      <c r="Q34" t="s">
        <v>36</v>
      </c>
      <c r="S34" t="s">
        <v>333</v>
      </c>
      <c r="W34" t="s">
        <v>333</v>
      </c>
      <c r="X34" t="s">
        <v>220</v>
      </c>
      <c r="Y34" t="s">
        <v>31</v>
      </c>
      <c r="Z34" t="s">
        <v>25</v>
      </c>
      <c r="AA34" t="s">
        <v>31</v>
      </c>
      <c r="AB34" t="s">
        <v>25</v>
      </c>
      <c r="AC34" t="s">
        <v>36</v>
      </c>
      <c r="AD34" t="s">
        <v>36</v>
      </c>
      <c r="AE34" t="s">
        <v>36</v>
      </c>
      <c r="AF34" t="s">
        <v>31</v>
      </c>
      <c r="AG34" t="s">
        <v>247</v>
      </c>
      <c r="AH34" s="6" t="s">
        <v>25</v>
      </c>
      <c r="AI34" s="6" t="s">
        <v>25</v>
      </c>
      <c r="AJ34" s="6" t="s">
        <v>36</v>
      </c>
      <c r="AK34" s="6" t="s">
        <v>25</v>
      </c>
      <c r="AL34" s="6" t="s">
        <v>36</v>
      </c>
      <c r="AM34" s="6" t="s">
        <v>25</v>
      </c>
      <c r="AN34" s="6" t="s">
        <v>36</v>
      </c>
      <c r="AO34" s="6" t="s">
        <v>31</v>
      </c>
      <c r="AP34" s="6" t="s">
        <v>423</v>
      </c>
      <c r="AQ34" s="6" t="s">
        <v>442</v>
      </c>
      <c r="AR34" s="6" t="s">
        <v>441</v>
      </c>
      <c r="AS34" s="6" t="s">
        <v>491</v>
      </c>
      <c r="AT34" s="1" t="s">
        <v>464</v>
      </c>
      <c r="AU34" s="6" t="s">
        <v>375</v>
      </c>
      <c r="AV34" s="6" t="s">
        <v>36</v>
      </c>
    </row>
    <row r="35" spans="1:48" x14ac:dyDescent="0.3">
      <c r="A35" t="s">
        <v>23</v>
      </c>
      <c r="B35" t="s">
        <v>21</v>
      </c>
      <c r="C35" t="s">
        <v>31</v>
      </c>
      <c r="D35" t="s">
        <v>31</v>
      </c>
      <c r="E35" t="s">
        <v>31</v>
      </c>
      <c r="F35" t="s">
        <v>31</v>
      </c>
      <c r="G35" s="1" t="s">
        <v>227</v>
      </c>
      <c r="H35" s="1" t="s">
        <v>228</v>
      </c>
      <c r="I35" t="s">
        <v>31</v>
      </c>
      <c r="J35" t="s">
        <v>31</v>
      </c>
      <c r="K35" s="1" t="s">
        <v>205</v>
      </c>
      <c r="L35" t="s">
        <v>36</v>
      </c>
      <c r="M35" t="s">
        <v>257</v>
      </c>
      <c r="N35" t="s">
        <v>155</v>
      </c>
      <c r="Q35" t="s">
        <v>36</v>
      </c>
      <c r="S35">
        <v>2016</v>
      </c>
      <c r="U35" t="s">
        <v>257</v>
      </c>
      <c r="V35" s="9" t="s">
        <v>257</v>
      </c>
      <c r="W35" t="s">
        <v>331</v>
      </c>
      <c r="X35" t="s">
        <v>155</v>
      </c>
      <c r="Y35" t="s">
        <v>31</v>
      </c>
      <c r="Z35" t="s">
        <v>25</v>
      </c>
      <c r="AA35" t="s">
        <v>31</v>
      </c>
      <c r="AB35" t="s">
        <v>25</v>
      </c>
      <c r="AC35" s="22" t="s">
        <v>31</v>
      </c>
      <c r="AD35" s="22" t="s">
        <v>31</v>
      </c>
      <c r="AE35" s="22" t="s">
        <v>31</v>
      </c>
      <c r="AF35" t="s">
        <v>31</v>
      </c>
      <c r="AG35" s="22" t="s">
        <v>31</v>
      </c>
      <c r="AH35" s="6" t="s">
        <v>25</v>
      </c>
      <c r="AI35" s="6" t="s">
        <v>25</v>
      </c>
      <c r="AJ35" s="6" t="s">
        <v>36</v>
      </c>
      <c r="AK35" s="6" t="s">
        <v>25</v>
      </c>
      <c r="AL35" s="6" t="s">
        <v>36</v>
      </c>
      <c r="AM35" s="6" t="s">
        <v>25</v>
      </c>
      <c r="AN35" s="6" t="s">
        <v>36</v>
      </c>
      <c r="AO35" s="23" t="s">
        <v>31</v>
      </c>
      <c r="AP35" s="6" t="s">
        <v>36</v>
      </c>
      <c r="AQ35" s="23" t="s">
        <v>580</v>
      </c>
      <c r="AR35" s="6" t="s">
        <v>36</v>
      </c>
      <c r="AS35" s="23" t="s">
        <v>581</v>
      </c>
      <c r="AT35" s="6" t="s">
        <v>36</v>
      </c>
      <c r="AU35" t="s">
        <v>384</v>
      </c>
      <c r="AV35" s="6" t="s">
        <v>36</v>
      </c>
    </row>
    <row r="36" spans="1:48" x14ac:dyDescent="0.3">
      <c r="A36" t="s">
        <v>174</v>
      </c>
      <c r="B36" t="s">
        <v>2</v>
      </c>
      <c r="C36" t="s">
        <v>31</v>
      </c>
      <c r="D36" t="s">
        <v>31</v>
      </c>
      <c r="E36" t="s">
        <v>25</v>
      </c>
      <c r="F36" t="s">
        <v>31</v>
      </c>
      <c r="G36" s="1" t="s">
        <v>231</v>
      </c>
      <c r="H36" t="s">
        <v>36</v>
      </c>
      <c r="I36" t="s">
        <v>31</v>
      </c>
      <c r="J36" t="s">
        <v>31</v>
      </c>
      <c r="K36" s="1" t="s">
        <v>231</v>
      </c>
      <c r="L36" t="s">
        <v>36</v>
      </c>
      <c r="M36" t="s">
        <v>260</v>
      </c>
      <c r="N36" t="s">
        <v>119</v>
      </c>
      <c r="Q36" t="s">
        <v>274</v>
      </c>
      <c r="S36" t="s">
        <v>318</v>
      </c>
      <c r="U36" t="s">
        <v>260</v>
      </c>
      <c r="V36" s="9" t="s">
        <v>260</v>
      </c>
      <c r="W36" t="s">
        <v>318</v>
      </c>
      <c r="X36" t="s">
        <v>119</v>
      </c>
      <c r="Y36" t="s">
        <v>31</v>
      </c>
      <c r="Z36" s="22" t="s">
        <v>31</v>
      </c>
      <c r="AA36" t="s">
        <v>31</v>
      </c>
      <c r="AB36" t="s">
        <v>31</v>
      </c>
      <c r="AC36" t="s">
        <v>25</v>
      </c>
      <c r="AD36" t="s">
        <v>25</v>
      </c>
      <c r="AE36" t="s">
        <v>36</v>
      </c>
      <c r="AF36" t="s">
        <v>247</v>
      </c>
      <c r="AG36" t="s">
        <v>31</v>
      </c>
      <c r="AH36" s="6" t="s">
        <v>25</v>
      </c>
      <c r="AI36" s="6" t="s">
        <v>25</v>
      </c>
      <c r="AJ36" s="6" t="s">
        <v>36</v>
      </c>
      <c r="AK36" s="6" t="s">
        <v>25</v>
      </c>
      <c r="AL36" s="6" t="s">
        <v>36</v>
      </c>
      <c r="AM36" s="6" t="s">
        <v>25</v>
      </c>
      <c r="AN36" s="6" t="s">
        <v>36</v>
      </c>
      <c r="AO36" s="6" t="s">
        <v>31</v>
      </c>
      <c r="AP36" s="6" t="s">
        <v>423</v>
      </c>
      <c r="AQ36" s="6" t="s">
        <v>465</v>
      </c>
      <c r="AR36" s="6" t="s">
        <v>466</v>
      </c>
      <c r="AS36" s="6" t="s">
        <v>334</v>
      </c>
      <c r="AT36" s="1" t="s">
        <v>467</v>
      </c>
      <c r="AU36" s="6" t="s">
        <v>391</v>
      </c>
      <c r="AV36" s="6" t="s">
        <v>416</v>
      </c>
    </row>
    <row r="37" spans="1:48" x14ac:dyDescent="0.3">
      <c r="A37" t="s">
        <v>175</v>
      </c>
      <c r="B37" t="s">
        <v>2</v>
      </c>
      <c r="C37" t="s">
        <v>31</v>
      </c>
      <c r="D37" t="s">
        <v>31</v>
      </c>
      <c r="E37" t="s">
        <v>25</v>
      </c>
      <c r="F37" t="s">
        <v>31</v>
      </c>
      <c r="G37" s="1" t="s">
        <v>232</v>
      </c>
      <c r="H37" t="s">
        <v>36</v>
      </c>
      <c r="I37" t="s">
        <v>31</v>
      </c>
      <c r="J37" t="s">
        <v>31</v>
      </c>
      <c r="K37" s="1" t="s">
        <v>232</v>
      </c>
      <c r="L37" t="s">
        <v>36</v>
      </c>
      <c r="M37" t="s">
        <v>259</v>
      </c>
      <c r="N37" t="s">
        <v>119</v>
      </c>
      <c r="O37" s="22">
        <v>1</v>
      </c>
      <c r="Q37" t="s">
        <v>274</v>
      </c>
      <c r="S37" t="s">
        <v>318</v>
      </c>
      <c r="U37" t="s">
        <v>313</v>
      </c>
      <c r="V37" s="9" t="s">
        <v>313</v>
      </c>
      <c r="W37" t="s">
        <v>318</v>
      </c>
      <c r="X37" t="s">
        <v>119</v>
      </c>
      <c r="Y37" t="s">
        <v>31</v>
      </c>
      <c r="Z37" s="22" t="s">
        <v>31</v>
      </c>
      <c r="AA37" t="s">
        <v>31</v>
      </c>
      <c r="AB37" t="s">
        <v>31</v>
      </c>
      <c r="AC37" t="s">
        <v>25</v>
      </c>
      <c r="AD37" t="s">
        <v>25</v>
      </c>
      <c r="AE37" t="s">
        <v>36</v>
      </c>
      <c r="AF37" t="s">
        <v>247</v>
      </c>
      <c r="AG37" t="s">
        <v>31</v>
      </c>
      <c r="AH37" s="6" t="s">
        <v>25</v>
      </c>
      <c r="AI37" s="6" t="s">
        <v>25</v>
      </c>
      <c r="AJ37" s="6" t="s">
        <v>36</v>
      </c>
      <c r="AK37" s="6" t="s">
        <v>25</v>
      </c>
      <c r="AL37" s="6" t="s">
        <v>36</v>
      </c>
      <c r="AM37" s="6" t="s">
        <v>25</v>
      </c>
      <c r="AN37" s="6" t="s">
        <v>36</v>
      </c>
      <c r="AO37" s="6" t="s">
        <v>31</v>
      </c>
      <c r="AP37" s="6" t="s">
        <v>423</v>
      </c>
      <c r="AQ37" s="6" t="s">
        <v>465</v>
      </c>
      <c r="AR37" s="6" t="s">
        <v>466</v>
      </c>
      <c r="AS37" s="6" t="s">
        <v>334</v>
      </c>
      <c r="AT37" s="1" t="s">
        <v>467</v>
      </c>
      <c r="AU37" s="6" t="s">
        <v>391</v>
      </c>
      <c r="AV37" s="6" t="s">
        <v>417</v>
      </c>
    </row>
    <row r="38" spans="1:48" x14ac:dyDescent="0.3">
      <c r="A38" s="12" t="s">
        <v>176</v>
      </c>
      <c r="B38" t="s">
        <v>2</v>
      </c>
      <c r="C38" t="s">
        <v>31</v>
      </c>
      <c r="D38" t="s">
        <v>31</v>
      </c>
      <c r="E38" t="s">
        <v>25</v>
      </c>
      <c r="F38" t="s">
        <v>31</v>
      </c>
      <c r="G38" s="1" t="s">
        <v>233</v>
      </c>
      <c r="H38" t="s">
        <v>36</v>
      </c>
      <c r="I38" t="s">
        <v>31</v>
      </c>
      <c r="J38" t="s">
        <v>31</v>
      </c>
      <c r="K38" s="1" t="s">
        <v>233</v>
      </c>
      <c r="L38" t="s">
        <v>36</v>
      </c>
      <c r="M38" t="s">
        <v>329</v>
      </c>
      <c r="N38" t="s">
        <v>234</v>
      </c>
      <c r="Q38" t="s">
        <v>247</v>
      </c>
      <c r="S38" t="s">
        <v>247</v>
      </c>
      <c r="U38" t="s">
        <v>330</v>
      </c>
      <c r="W38" t="s">
        <v>247</v>
      </c>
      <c r="X38" t="s">
        <v>234</v>
      </c>
      <c r="Y38" t="s">
        <v>31</v>
      </c>
      <c r="Z38" t="s">
        <v>31</v>
      </c>
      <c r="AA38" t="s">
        <v>247</v>
      </c>
      <c r="AB38" t="s">
        <v>247</v>
      </c>
      <c r="AC38" t="s">
        <v>25</v>
      </c>
      <c r="AD38" t="s">
        <v>247</v>
      </c>
      <c r="AE38" t="s">
        <v>247</v>
      </c>
      <c r="AF38" t="s">
        <v>247</v>
      </c>
      <c r="AG38" t="s">
        <v>247</v>
      </c>
      <c r="AH38" s="6" t="s">
        <v>25</v>
      </c>
      <c r="AI38" s="6" t="s">
        <v>25</v>
      </c>
      <c r="AJ38" s="6" t="s">
        <v>36</v>
      </c>
      <c r="AK38" s="6" t="s">
        <v>25</v>
      </c>
      <c r="AL38" s="6" t="s">
        <v>36</v>
      </c>
      <c r="AM38" s="6" t="s">
        <v>25</v>
      </c>
      <c r="AN38" s="6" t="s">
        <v>36</v>
      </c>
      <c r="AO38" s="6" t="s">
        <v>247</v>
      </c>
      <c r="AP38" s="6" t="s">
        <v>247</v>
      </c>
      <c r="AQ38" s="6" t="s">
        <v>247</v>
      </c>
      <c r="AR38" s="6" t="s">
        <v>247</v>
      </c>
      <c r="AS38" s="6" t="s">
        <v>247</v>
      </c>
      <c r="AT38" s="6" t="s">
        <v>247</v>
      </c>
      <c r="AU38" s="6" t="s">
        <v>247</v>
      </c>
      <c r="AV38" s="6" t="s">
        <v>247</v>
      </c>
    </row>
    <row r="39" spans="1:48" x14ac:dyDescent="0.3">
      <c r="A39" s="12" t="s">
        <v>177</v>
      </c>
      <c r="B39" t="s">
        <v>10</v>
      </c>
      <c r="C39" t="s">
        <v>236</v>
      </c>
      <c r="D39" t="s">
        <v>248</v>
      </c>
      <c r="E39" s="22" t="s">
        <v>25</v>
      </c>
      <c r="F39" t="s">
        <v>25</v>
      </c>
      <c r="G39" t="s">
        <v>36</v>
      </c>
      <c r="H39" t="s">
        <v>36</v>
      </c>
      <c r="I39" t="s">
        <v>31</v>
      </c>
      <c r="J39" t="s">
        <v>25</v>
      </c>
      <c r="K39" t="s">
        <v>36</v>
      </c>
      <c r="L39" t="s">
        <v>36</v>
      </c>
      <c r="M39" t="s">
        <v>264</v>
      </c>
      <c r="N39" t="s">
        <v>235</v>
      </c>
      <c r="O39">
        <v>1</v>
      </c>
      <c r="Q39" t="s">
        <v>36</v>
      </c>
      <c r="S39" t="s">
        <v>247</v>
      </c>
      <c r="U39" t="s">
        <v>264</v>
      </c>
      <c r="V39" s="9" t="s">
        <v>264</v>
      </c>
      <c r="W39" t="s">
        <v>247</v>
      </c>
      <c r="X39" t="s">
        <v>235</v>
      </c>
      <c r="Y39" t="s">
        <v>36</v>
      </c>
      <c r="Z39" t="s">
        <v>247</v>
      </c>
      <c r="AA39" t="s">
        <v>36</v>
      </c>
      <c r="AB39" t="s">
        <v>36</v>
      </c>
      <c r="AC39" t="s">
        <v>36</v>
      </c>
      <c r="AD39" t="s">
        <v>36</v>
      </c>
      <c r="AE39" t="s">
        <v>36</v>
      </c>
      <c r="AF39" t="s">
        <v>247</v>
      </c>
      <c r="AG39" t="s">
        <v>247</v>
      </c>
      <c r="AH39" s="6" t="s">
        <v>25</v>
      </c>
      <c r="AI39" s="6" t="s">
        <v>25</v>
      </c>
      <c r="AJ39" s="6" t="s">
        <v>36</v>
      </c>
      <c r="AK39" s="6" t="s">
        <v>25</v>
      </c>
      <c r="AL39" s="6" t="s">
        <v>36</v>
      </c>
      <c r="AM39" s="6" t="s">
        <v>25</v>
      </c>
      <c r="AN39" s="6" t="s">
        <v>36</v>
      </c>
      <c r="AO39" s="6" t="s">
        <v>31</v>
      </c>
      <c r="AP39" s="6" t="s">
        <v>585</v>
      </c>
      <c r="AQ39" s="6" t="s">
        <v>582</v>
      </c>
      <c r="AR39" s="6" t="s">
        <v>583</v>
      </c>
      <c r="AS39" s="6" t="s">
        <v>584</v>
      </c>
      <c r="AT39" s="1" t="s">
        <v>594</v>
      </c>
      <c r="AU39" s="6" t="s">
        <v>392</v>
      </c>
      <c r="AV39" s="6" t="s">
        <v>418</v>
      </c>
    </row>
    <row r="40" spans="1:48" x14ac:dyDescent="0.3">
      <c r="A40" t="s">
        <v>237</v>
      </c>
      <c r="B40" t="s">
        <v>10</v>
      </c>
      <c r="C40" t="s">
        <v>236</v>
      </c>
      <c r="D40" t="s">
        <v>31</v>
      </c>
      <c r="E40" t="s">
        <v>31</v>
      </c>
      <c r="F40" t="s">
        <v>25</v>
      </c>
      <c r="G40" t="s">
        <v>36</v>
      </c>
      <c r="H40" t="s">
        <v>36</v>
      </c>
      <c r="I40" t="s">
        <v>31</v>
      </c>
      <c r="J40" t="s">
        <v>25</v>
      </c>
      <c r="K40" t="s">
        <v>36</v>
      </c>
      <c r="L40" t="s">
        <v>36</v>
      </c>
      <c r="M40" t="s">
        <v>265</v>
      </c>
      <c r="N40" t="s">
        <v>275</v>
      </c>
      <c r="O40">
        <v>1</v>
      </c>
      <c r="Q40" t="s">
        <v>36</v>
      </c>
      <c r="S40" s="11" t="s">
        <v>247</v>
      </c>
      <c r="U40" t="s">
        <v>265</v>
      </c>
      <c r="V40" s="9" t="s">
        <v>265</v>
      </c>
      <c r="W40" t="s">
        <v>334</v>
      </c>
      <c r="X40" s="11" t="s">
        <v>275</v>
      </c>
      <c r="Y40" s="19" t="s">
        <v>36</v>
      </c>
      <c r="Z40" t="s">
        <v>25</v>
      </c>
      <c r="AA40" t="s">
        <v>31</v>
      </c>
      <c r="AB40" t="s">
        <v>31</v>
      </c>
      <c r="AC40" t="s">
        <v>31</v>
      </c>
      <c r="AD40" s="22" t="s">
        <v>31</v>
      </c>
      <c r="AE40" t="s">
        <v>31</v>
      </c>
      <c r="AF40" t="s">
        <v>31</v>
      </c>
      <c r="AG40" t="s">
        <v>31</v>
      </c>
      <c r="AH40" s="6" t="s">
        <v>31</v>
      </c>
      <c r="AI40" s="6" t="s">
        <v>31</v>
      </c>
      <c r="AJ40" s="6" t="s">
        <v>247</v>
      </c>
      <c r="AK40" s="6" t="s">
        <v>25</v>
      </c>
      <c r="AL40" s="6" t="s">
        <v>36</v>
      </c>
      <c r="AM40" s="6" t="s">
        <v>25</v>
      </c>
      <c r="AN40" s="6" t="s">
        <v>36</v>
      </c>
      <c r="AO40" s="6" t="s">
        <v>31</v>
      </c>
      <c r="AP40" s="6" t="s">
        <v>422</v>
      </c>
      <c r="AQ40" s="6" t="s">
        <v>470</v>
      </c>
      <c r="AR40" s="6" t="s">
        <v>469</v>
      </c>
      <c r="AS40" s="6" t="s">
        <v>116</v>
      </c>
      <c r="AT40" s="1" t="s">
        <v>468</v>
      </c>
      <c r="AU40" s="6" t="s">
        <v>393</v>
      </c>
      <c r="AV40" s="6" t="s">
        <v>419</v>
      </c>
    </row>
    <row r="41" spans="1:48" x14ac:dyDescent="0.3">
      <c r="A41" t="s">
        <v>178</v>
      </c>
      <c r="B41" t="s">
        <v>10</v>
      </c>
      <c r="C41" t="s">
        <v>236</v>
      </c>
      <c r="D41" t="s">
        <v>31</v>
      </c>
      <c r="E41" t="s">
        <v>31</v>
      </c>
      <c r="F41" t="s">
        <v>25</v>
      </c>
      <c r="G41" t="s">
        <v>36</v>
      </c>
      <c r="H41" t="s">
        <v>36</v>
      </c>
      <c r="I41" t="s">
        <v>31</v>
      </c>
      <c r="J41" t="s">
        <v>25</v>
      </c>
      <c r="K41" t="s">
        <v>36</v>
      </c>
      <c r="L41" t="s">
        <v>36</v>
      </c>
      <c r="M41" t="s">
        <v>266</v>
      </c>
      <c r="N41" t="s">
        <v>276</v>
      </c>
      <c r="O41">
        <v>1</v>
      </c>
      <c r="Q41" t="s">
        <v>36</v>
      </c>
      <c r="S41" s="11" t="s">
        <v>247</v>
      </c>
      <c r="U41" t="s">
        <v>266</v>
      </c>
      <c r="V41" s="9" t="s">
        <v>266</v>
      </c>
      <c r="W41" t="s">
        <v>335</v>
      </c>
      <c r="X41" s="11" t="s">
        <v>276</v>
      </c>
      <c r="Y41" t="s">
        <v>31</v>
      </c>
      <c r="Z41" t="s">
        <v>25</v>
      </c>
      <c r="AA41" t="s">
        <v>31</v>
      </c>
      <c r="AB41" t="s">
        <v>31</v>
      </c>
      <c r="AC41" t="s">
        <v>31</v>
      </c>
      <c r="AD41" s="22" t="s">
        <v>31</v>
      </c>
      <c r="AE41" t="s">
        <v>31</v>
      </c>
      <c r="AF41" t="s">
        <v>31</v>
      </c>
      <c r="AG41" t="s">
        <v>31</v>
      </c>
      <c r="AH41" s="6" t="s">
        <v>25</v>
      </c>
      <c r="AI41" s="6" t="s">
        <v>25</v>
      </c>
      <c r="AJ41" s="6" t="s">
        <v>36</v>
      </c>
      <c r="AK41" s="6" t="s">
        <v>25</v>
      </c>
      <c r="AL41" s="6" t="s">
        <v>36</v>
      </c>
      <c r="AM41" s="6" t="s">
        <v>25</v>
      </c>
      <c r="AN41" s="6" t="s">
        <v>36</v>
      </c>
      <c r="AO41" s="6" t="s">
        <v>31</v>
      </c>
      <c r="AP41" s="6" t="s">
        <v>422</v>
      </c>
      <c r="AQ41" s="6" t="s">
        <v>470</v>
      </c>
      <c r="AR41" s="6" t="s">
        <v>469</v>
      </c>
      <c r="AS41" s="6" t="s">
        <v>116</v>
      </c>
      <c r="AT41" s="1" t="s">
        <v>468</v>
      </c>
      <c r="AU41" s="6" t="s">
        <v>393</v>
      </c>
      <c r="AV41" s="6" t="s">
        <v>420</v>
      </c>
    </row>
    <row r="42" spans="1:48" x14ac:dyDescent="0.3">
      <c r="A42" t="s">
        <v>182</v>
      </c>
      <c r="B42" t="s">
        <v>10</v>
      </c>
      <c r="C42" t="s">
        <v>236</v>
      </c>
      <c r="D42" t="s">
        <v>31</v>
      </c>
      <c r="E42" t="s">
        <v>31</v>
      </c>
      <c r="F42" t="s">
        <v>25</v>
      </c>
      <c r="G42" t="s">
        <v>36</v>
      </c>
      <c r="H42" t="s">
        <v>36</v>
      </c>
      <c r="I42" t="s">
        <v>31</v>
      </c>
      <c r="J42" t="s">
        <v>25</v>
      </c>
      <c r="K42" t="s">
        <v>36</v>
      </c>
      <c r="L42" t="s">
        <v>36</v>
      </c>
      <c r="M42" t="s">
        <v>268</v>
      </c>
      <c r="N42" t="s">
        <v>239</v>
      </c>
      <c r="Q42" t="s">
        <v>36</v>
      </c>
      <c r="S42" t="s">
        <v>314</v>
      </c>
      <c r="U42" t="s">
        <v>268</v>
      </c>
      <c r="V42" s="9" t="s">
        <v>268</v>
      </c>
      <c r="W42" t="s">
        <v>336</v>
      </c>
      <c r="X42" t="s">
        <v>239</v>
      </c>
      <c r="Y42" s="21" t="s">
        <v>36</v>
      </c>
      <c r="Z42" t="s">
        <v>25</v>
      </c>
      <c r="AA42" t="s">
        <v>31</v>
      </c>
      <c r="AB42" t="s">
        <v>25</v>
      </c>
      <c r="AC42" t="s">
        <v>36</v>
      </c>
      <c r="AD42" t="s">
        <v>36</v>
      </c>
      <c r="AE42" t="s">
        <v>36</v>
      </c>
      <c r="AF42" t="s">
        <v>247</v>
      </c>
      <c r="AG42" s="22" t="s">
        <v>31</v>
      </c>
      <c r="AH42" s="6" t="s">
        <v>25</v>
      </c>
      <c r="AI42" s="6" t="s">
        <v>25</v>
      </c>
      <c r="AJ42" s="6" t="s">
        <v>36</v>
      </c>
      <c r="AK42" s="6" t="s">
        <v>25</v>
      </c>
      <c r="AL42" s="6" t="s">
        <v>36</v>
      </c>
      <c r="AM42" s="6" t="s">
        <v>25</v>
      </c>
      <c r="AN42" s="6" t="s">
        <v>36</v>
      </c>
      <c r="AO42" s="6" t="s">
        <v>31</v>
      </c>
      <c r="AP42" s="6" t="s">
        <v>422</v>
      </c>
      <c r="AQ42" s="6" t="s">
        <v>451</v>
      </c>
      <c r="AR42" s="6" t="s">
        <v>452</v>
      </c>
      <c r="AS42" s="6" t="s">
        <v>492</v>
      </c>
      <c r="AT42" s="1" t="s">
        <v>471</v>
      </c>
      <c r="AU42" s="6" t="s">
        <v>381</v>
      </c>
      <c r="AV42" s="6" t="s">
        <v>36</v>
      </c>
    </row>
    <row r="43" spans="1:48" x14ac:dyDescent="0.3">
      <c r="A43" t="s">
        <v>183</v>
      </c>
      <c r="B43" t="s">
        <v>10</v>
      </c>
      <c r="C43" t="s">
        <v>236</v>
      </c>
      <c r="D43" t="s">
        <v>31</v>
      </c>
      <c r="E43" t="s">
        <v>31</v>
      </c>
      <c r="F43" t="s">
        <v>25</v>
      </c>
      <c r="G43" t="s">
        <v>36</v>
      </c>
      <c r="H43" t="s">
        <v>36</v>
      </c>
      <c r="I43" t="s">
        <v>31</v>
      </c>
      <c r="J43" t="s">
        <v>25</v>
      </c>
      <c r="K43" t="s">
        <v>36</v>
      </c>
      <c r="L43" t="s">
        <v>36</v>
      </c>
      <c r="M43" t="s">
        <v>269</v>
      </c>
      <c r="N43" t="s">
        <v>239</v>
      </c>
      <c r="Q43" t="s">
        <v>36</v>
      </c>
      <c r="S43" t="s">
        <v>314</v>
      </c>
      <c r="U43" t="s">
        <v>269</v>
      </c>
      <c r="V43" s="9" t="s">
        <v>269</v>
      </c>
      <c r="W43" t="s">
        <v>336</v>
      </c>
      <c r="X43" t="s">
        <v>239</v>
      </c>
      <c r="Y43" t="s">
        <v>31</v>
      </c>
      <c r="Z43" t="s">
        <v>25</v>
      </c>
      <c r="AA43" t="s">
        <v>31</v>
      </c>
      <c r="AB43" t="s">
        <v>25</v>
      </c>
      <c r="AC43" t="s">
        <v>36</v>
      </c>
      <c r="AD43" t="s">
        <v>36</v>
      </c>
      <c r="AE43" t="s">
        <v>36</v>
      </c>
      <c r="AF43" t="s">
        <v>247</v>
      </c>
      <c r="AG43" s="22" t="s">
        <v>31</v>
      </c>
      <c r="AH43" s="6" t="s">
        <v>31</v>
      </c>
      <c r="AI43" s="6" t="s">
        <v>31</v>
      </c>
      <c r="AJ43" s="6" t="s">
        <v>354</v>
      </c>
      <c r="AK43" s="6" t="s">
        <v>25</v>
      </c>
      <c r="AL43" s="6" t="s">
        <v>36</v>
      </c>
      <c r="AM43" s="6" t="s">
        <v>25</v>
      </c>
      <c r="AN43" s="6" t="s">
        <v>36</v>
      </c>
      <c r="AO43" s="6" t="s">
        <v>31</v>
      </c>
      <c r="AP43" s="6" t="s">
        <v>423</v>
      </c>
      <c r="AQ43" s="6" t="s">
        <v>472</v>
      </c>
      <c r="AR43" s="6" t="s">
        <v>473</v>
      </c>
      <c r="AS43" s="6" t="s">
        <v>483</v>
      </c>
      <c r="AT43" s="1" t="s">
        <v>474</v>
      </c>
      <c r="AU43" s="6" t="s">
        <v>395</v>
      </c>
      <c r="AV43" s="6" t="s">
        <v>36</v>
      </c>
    </row>
    <row r="44" spans="1:48" x14ac:dyDescent="0.3">
      <c r="A44" t="s">
        <v>185</v>
      </c>
      <c r="B44" t="s">
        <v>10</v>
      </c>
      <c r="C44" t="s">
        <v>236</v>
      </c>
      <c r="D44" t="s">
        <v>31</v>
      </c>
      <c r="E44" t="s">
        <v>31</v>
      </c>
      <c r="F44" t="s">
        <v>25</v>
      </c>
      <c r="G44" t="s">
        <v>36</v>
      </c>
      <c r="H44" t="s">
        <v>36</v>
      </c>
      <c r="I44" t="s">
        <v>31</v>
      </c>
      <c r="J44" t="s">
        <v>25</v>
      </c>
      <c r="K44" t="s">
        <v>36</v>
      </c>
      <c r="L44" t="s">
        <v>36</v>
      </c>
      <c r="M44" t="s">
        <v>270</v>
      </c>
      <c r="N44" t="s">
        <v>240</v>
      </c>
      <c r="Q44" t="s">
        <v>36</v>
      </c>
      <c r="S44" t="s">
        <v>314</v>
      </c>
      <c r="U44" t="s">
        <v>270</v>
      </c>
      <c r="V44" s="9" t="s">
        <v>270</v>
      </c>
      <c r="W44" t="s">
        <v>336</v>
      </c>
      <c r="X44" t="s">
        <v>240</v>
      </c>
      <c r="Y44" t="s">
        <v>31</v>
      </c>
      <c r="Z44" t="s">
        <v>25</v>
      </c>
      <c r="AA44" t="s">
        <v>31</v>
      </c>
      <c r="AB44" t="s">
        <v>25</v>
      </c>
      <c r="AC44" t="s">
        <v>36</v>
      </c>
      <c r="AD44" t="s">
        <v>36</v>
      </c>
      <c r="AE44" t="s">
        <v>36</v>
      </c>
      <c r="AF44" t="s">
        <v>247</v>
      </c>
      <c r="AG44" s="22" t="s">
        <v>31</v>
      </c>
      <c r="AH44" s="6" t="s">
        <v>25</v>
      </c>
      <c r="AI44" s="6" t="s">
        <v>25</v>
      </c>
      <c r="AJ44" s="6" t="s">
        <v>36</v>
      </c>
      <c r="AK44" s="6" t="s">
        <v>25</v>
      </c>
      <c r="AL44" s="6" t="s">
        <v>36</v>
      </c>
      <c r="AM44" s="6" t="s">
        <v>25</v>
      </c>
      <c r="AN44" s="6" t="s">
        <v>36</v>
      </c>
      <c r="AO44" s="6" t="s">
        <v>31</v>
      </c>
      <c r="AP44" s="6" t="s">
        <v>423</v>
      </c>
      <c r="AQ44" s="6" t="s">
        <v>572</v>
      </c>
      <c r="AR44" s="6" t="s">
        <v>570</v>
      </c>
      <c r="AS44" s="6" t="s">
        <v>573</v>
      </c>
      <c r="AT44" s="1" t="s">
        <v>571</v>
      </c>
      <c r="AU44" s="6" t="s">
        <v>396</v>
      </c>
      <c r="AV44" s="6" t="s">
        <v>413</v>
      </c>
    </row>
    <row r="45" spans="1:48" x14ac:dyDescent="0.3">
      <c r="A45" t="s">
        <v>186</v>
      </c>
      <c r="B45" t="s">
        <v>10</v>
      </c>
      <c r="C45" t="s">
        <v>236</v>
      </c>
      <c r="D45" t="s">
        <v>31</v>
      </c>
      <c r="E45" t="s">
        <v>25</v>
      </c>
      <c r="F45" t="s">
        <v>25</v>
      </c>
      <c r="G45" t="s">
        <v>36</v>
      </c>
      <c r="H45" t="s">
        <v>36</v>
      </c>
      <c r="I45" t="s">
        <v>31</v>
      </c>
      <c r="J45" t="s">
        <v>25</v>
      </c>
      <c r="K45" t="s">
        <v>36</v>
      </c>
      <c r="L45" t="s">
        <v>36</v>
      </c>
      <c r="M45" t="s">
        <v>271</v>
      </c>
      <c r="N45" t="s">
        <v>241</v>
      </c>
      <c r="Q45" t="s">
        <v>36</v>
      </c>
      <c r="S45" s="19" t="s">
        <v>554</v>
      </c>
      <c r="U45" t="s">
        <v>271</v>
      </c>
      <c r="V45" s="20">
        <v>39965</v>
      </c>
      <c r="W45" t="s">
        <v>338</v>
      </c>
      <c r="X45" t="s">
        <v>241</v>
      </c>
      <c r="Y45" t="s">
        <v>31</v>
      </c>
      <c r="Z45" t="s">
        <v>31</v>
      </c>
      <c r="AA45" t="s">
        <v>31</v>
      </c>
      <c r="AB45" t="s">
        <v>31</v>
      </c>
      <c r="AC45" t="s">
        <v>25</v>
      </c>
      <c r="AD45" t="s">
        <v>25</v>
      </c>
      <c r="AE45" t="s">
        <v>36</v>
      </c>
      <c r="AF45" t="s">
        <v>247</v>
      </c>
      <c r="AG45" t="s">
        <v>31</v>
      </c>
      <c r="AH45" s="6" t="s">
        <v>25</v>
      </c>
      <c r="AI45" s="6" t="s">
        <v>25</v>
      </c>
      <c r="AJ45" s="6" t="s">
        <v>36</v>
      </c>
      <c r="AK45" s="6" t="s">
        <v>25</v>
      </c>
      <c r="AL45" s="6" t="s">
        <v>36</v>
      </c>
      <c r="AM45" s="6" t="s">
        <v>25</v>
      </c>
      <c r="AN45" s="6" t="s">
        <v>36</v>
      </c>
      <c r="AO45" s="6" t="s">
        <v>31</v>
      </c>
      <c r="AP45" s="6" t="s">
        <v>422</v>
      </c>
      <c r="AQ45" s="6" t="s">
        <v>460</v>
      </c>
      <c r="AR45" s="6" t="s">
        <v>459</v>
      </c>
      <c r="AS45" s="6" t="s">
        <v>482</v>
      </c>
      <c r="AT45" s="1" t="s">
        <v>478</v>
      </c>
      <c r="AU45" s="6" t="s">
        <v>397</v>
      </c>
      <c r="AV45" s="6" t="s">
        <v>414</v>
      </c>
    </row>
    <row r="46" spans="1:48" x14ac:dyDescent="0.3">
      <c r="A46" t="s">
        <v>188</v>
      </c>
      <c r="B46" t="s">
        <v>10</v>
      </c>
      <c r="C46" t="s">
        <v>236</v>
      </c>
      <c r="D46" t="s">
        <v>31</v>
      </c>
      <c r="E46" t="s">
        <v>25</v>
      </c>
      <c r="F46" t="s">
        <v>25</v>
      </c>
      <c r="G46" t="s">
        <v>36</v>
      </c>
      <c r="H46" t="s">
        <v>36</v>
      </c>
      <c r="I46" t="s">
        <v>31</v>
      </c>
      <c r="J46" t="s">
        <v>25</v>
      </c>
      <c r="K46" t="s">
        <v>36</v>
      </c>
      <c r="L46" t="s">
        <v>36</v>
      </c>
      <c r="M46" t="s">
        <v>273</v>
      </c>
      <c r="N46" t="s">
        <v>243</v>
      </c>
      <c r="Q46" t="s">
        <v>36</v>
      </c>
      <c r="S46" t="s">
        <v>339</v>
      </c>
      <c r="W46" t="s">
        <v>340</v>
      </c>
      <c r="X46" t="s">
        <v>243</v>
      </c>
      <c r="Y46" t="s">
        <v>31</v>
      </c>
      <c r="Z46" t="s">
        <v>31</v>
      </c>
      <c r="AA46" t="s">
        <v>31</v>
      </c>
      <c r="AB46" t="s">
        <v>31</v>
      </c>
      <c r="AC46" t="s">
        <v>25</v>
      </c>
      <c r="AD46" t="s">
        <v>25</v>
      </c>
      <c r="AE46" t="s">
        <v>36</v>
      </c>
      <c r="AF46" t="s">
        <v>247</v>
      </c>
      <c r="AG46" t="s">
        <v>31</v>
      </c>
      <c r="AH46" s="6" t="s">
        <v>31</v>
      </c>
      <c r="AI46" s="6" t="s">
        <v>31</v>
      </c>
      <c r="AJ46" s="6" t="s">
        <v>247</v>
      </c>
      <c r="AK46" s="6" t="s">
        <v>25</v>
      </c>
      <c r="AL46" t="s">
        <v>36</v>
      </c>
      <c r="AM46" s="6" t="s">
        <v>25</v>
      </c>
      <c r="AN46" s="6" t="s">
        <v>36</v>
      </c>
      <c r="AO46" s="6" t="s">
        <v>31</v>
      </c>
      <c r="AP46" s="6" t="s">
        <v>423</v>
      </c>
      <c r="AQ46" s="6" t="s">
        <v>475</v>
      </c>
      <c r="AR46" s="6" t="s">
        <v>476</v>
      </c>
      <c r="AS46" s="6" t="s">
        <v>331</v>
      </c>
      <c r="AT46" s="1" t="s">
        <v>477</v>
      </c>
      <c r="AU46" s="6" t="s">
        <v>399</v>
      </c>
      <c r="AV46" s="6" t="s">
        <v>421</v>
      </c>
    </row>
  </sheetData>
  <phoneticPr fontId="6" type="noConversion"/>
  <conditionalFormatting sqref="C33:C46">
    <cfRule type="cellIs" dxfId="11" priority="1" operator="equal">
      <formula>"No"</formula>
    </cfRule>
  </conditionalFormatting>
  <conditionalFormatting sqref="D1:D46">
    <cfRule type="cellIs" dxfId="10" priority="4" operator="equal">
      <formula>"No"</formula>
    </cfRule>
    <cfRule type="cellIs" dxfId="9" priority="6" operator="equal">
      <formula>"No?"</formula>
    </cfRule>
  </conditionalFormatting>
  <conditionalFormatting sqref="D33:D46">
    <cfRule type="cellIs" dxfId="8" priority="3" operator="equal">
      <formula>"??"</formula>
    </cfRule>
  </conditionalFormatting>
  <conditionalFormatting sqref="D36:D46">
    <cfRule type="cellIs" dxfId="7" priority="2" operator="equal">
      <formula>"-"</formula>
    </cfRule>
  </conditionalFormatting>
  <conditionalFormatting sqref="P1:P46">
    <cfRule type="cellIs" dxfId="6"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K28" r:id="rId50" xr:uid="{34DC8331-D646-4B7C-9E70-BC72EB1A3159}"/>
    <hyperlink ref="G29" r:id="rId51" xr:uid="{9309EBFF-3A52-4FF6-884F-2A6A9C5B542D}"/>
    <hyperlink ref="H29" r:id="rId52" xr:uid="{A221E56E-D114-48A1-A997-F4BFF59195CA}"/>
    <hyperlink ref="G30" r:id="rId53" xr:uid="{AA15633C-583F-4D5F-9A6B-D73193D4EB33}"/>
    <hyperlink ref="H30" r:id="rId54" xr:uid="{F4AA475E-7460-416E-A214-15F0DD26D7BE}"/>
    <hyperlink ref="G31" r:id="rId55" xr:uid="{74D91AB7-A445-49B7-8514-C48A05352DC5}"/>
    <hyperlink ref="H31" r:id="rId56" xr:uid="{F42A7938-4858-4F0F-8C38-6C5BEDB0F60B}"/>
    <hyperlink ref="K31" r:id="rId57" xr:uid="{31BE08CA-53FF-4804-92FB-3D97CA1668BE}"/>
    <hyperlink ref="G32" r:id="rId58" xr:uid="{1729A61A-79D7-40B9-89F1-781E8EB55C01}"/>
    <hyperlink ref="H32" r:id="rId59" xr:uid="{E5372282-BEA6-46FA-BB9B-E24B28CB6F90}"/>
    <hyperlink ref="K32" r:id="rId60" xr:uid="{65AC0591-ABEC-495B-A701-7D62B2B3D8EC}"/>
    <hyperlink ref="G33" r:id="rId61" xr:uid="{48C79497-E361-4366-A0F4-70D674D4F6BF}"/>
    <hyperlink ref="H33" r:id="rId62" xr:uid="{2D36E963-E070-47F0-9D64-D1E9B9A63CB0}"/>
    <hyperlink ref="K33" r:id="rId63" xr:uid="{7B1F2F89-7189-4CD3-B5B1-DD0D0BDFF206}"/>
    <hyperlink ref="AT2" r:id="rId64" xr:uid="{9604CDA9-0813-495C-9A5D-0F7B1CB2BE35}"/>
    <hyperlink ref="AT4" r:id="rId65" xr:uid="{9BAD8958-C2FA-4C01-B8F6-F8CD7E7114C8}"/>
    <hyperlink ref="AT5" r:id="rId66" xr:uid="{1200BA9D-D9A5-447C-B0B3-47943B6CEBED}"/>
    <hyperlink ref="AT6" r:id="rId67" xr:uid="{5DAF210C-6344-463A-87F6-7797F3E873D5}"/>
    <hyperlink ref="AT7" r:id="rId68" xr:uid="{0BE49FCA-E1D5-48C3-B0E2-DF409CFB3807}"/>
    <hyperlink ref="AT8" r:id="rId69" xr:uid="{0A3361CD-EE1B-4D82-946B-404255C36212}"/>
    <hyperlink ref="AT12" r:id="rId70" xr:uid="{D57E2078-405D-46A4-B2FE-FBBA7433E8BC}"/>
    <hyperlink ref="AT14" r:id="rId71" xr:uid="{784E957A-6D0B-406D-BC6F-98D04D298299}"/>
    <hyperlink ref="AT15" r:id="rId72" xr:uid="{6077D44C-A3B4-4294-9ED0-F8525D0A6B2F}"/>
    <hyperlink ref="AT17" r:id="rId73" xr:uid="{8D28DB4C-9592-4589-8610-899868CB5427}"/>
    <hyperlink ref="AT20" r:id="rId74" xr:uid="{CC8E9691-8990-4F17-8753-AC95829B14F5}"/>
    <hyperlink ref="AT21" r:id="rId75" xr:uid="{F2B63E78-3A73-427C-A2D3-35442C4AB219}"/>
    <hyperlink ref="AT22" r:id="rId76" xr:uid="{CDA6F52E-773E-45B9-A044-16BBDBDA6476}"/>
    <hyperlink ref="AT25" r:id="rId77" xr:uid="{B2C591B8-9AEE-42FA-972A-AFD539645491}"/>
    <hyperlink ref="AT28" r:id="rId78" xr:uid="{6C46850E-0FBC-4B0B-961D-F246896B673C}"/>
    <hyperlink ref="AT30" r:id="rId79" xr:uid="{314F99CF-5B3B-4B9F-81E8-CB04D10007B0}"/>
    <hyperlink ref="AT33" r:id="rId80" xr:uid="{562CC6F6-BDA4-42A4-8484-0C34C1B5E702}"/>
    <hyperlink ref="AT40" r:id="rId81" xr:uid="{993CE364-0843-41EE-A97A-EDC7B792F837}"/>
    <hyperlink ref="AT41" r:id="rId82" xr:uid="{B2BCEFF7-DF1E-4D97-94B6-877CF9C45664}"/>
    <hyperlink ref="AT42" r:id="rId83" xr:uid="{EF2CAC01-0297-427E-AFE8-BD4B1E64A966}"/>
    <hyperlink ref="AT43" r:id="rId84" xr:uid="{FCF93D54-FAB5-4F35-B89D-AF6485D25E90}"/>
    <hyperlink ref="AT46" r:id="rId85" xr:uid="{A80598DB-4778-45FB-8609-CD31EC4E72F6}"/>
    <hyperlink ref="AT45" r:id="rId86" xr:uid="{51BF7F40-70D4-49D2-B422-990B294D4ADE}"/>
    <hyperlink ref="K36" r:id="rId87" xr:uid="{ACC074C0-C4A6-404C-B77A-0D184289CCCD}"/>
    <hyperlink ref="K37" r:id="rId88" xr:uid="{1790DFF0-9C6F-405A-8CE8-BA4D43B57295}"/>
    <hyperlink ref="G36" r:id="rId89" xr:uid="{BF46C60E-F940-41FC-8475-87EB826E3B7C}"/>
    <hyperlink ref="AT24" r:id="rId90" xr:uid="{B75CDE26-55CA-4186-B413-617FD108E8E2}"/>
    <hyperlink ref="AT39" r:id="rId91" xr:uid="{EBEB89A4-A41F-4CE5-AF6D-F7934A7F5CAE}"/>
  </hyperlinks>
  <pageMargins left="0.7" right="0.7" top="0.75" bottom="0.75" header="0.3" footer="0.3"/>
  <pageSetup orientation="portrait" r:id="rId92"/>
  <legacyDrawing r:id="rId9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0649-EF4B-4B1F-B3EC-3D04C392FEAA}">
  <dimension ref="A1:AU38"/>
  <sheetViews>
    <sheetView workbookViewId="0">
      <selection activeCell="Q2" sqref="Q2"/>
    </sheetView>
  </sheetViews>
  <sheetFormatPr defaultRowHeight="14.4" x14ac:dyDescent="0.3"/>
  <cols>
    <col min="1" max="1" width="11.33203125" bestFit="1" customWidth="1"/>
    <col min="10" max="10" width="11.109375" bestFit="1" customWidth="1"/>
    <col min="11" max="11" width="11.88671875" bestFit="1" customWidth="1"/>
    <col min="17" max="17" width="11.109375" bestFit="1" customWidth="1"/>
    <col min="18" max="18" width="11.88671875" bestFit="1" customWidth="1"/>
    <col min="38" max="38" width="10" customWidth="1"/>
    <col min="39" max="39" width="16.88671875" customWidth="1"/>
    <col min="40" max="40" width="11.21875" customWidth="1"/>
  </cols>
  <sheetData>
    <row r="1" spans="1:40" x14ac:dyDescent="0.3">
      <c r="A1" t="s">
        <v>1</v>
      </c>
      <c r="B1" t="s">
        <v>31</v>
      </c>
      <c r="C1" t="s">
        <v>25</v>
      </c>
      <c r="D1" t="s">
        <v>344</v>
      </c>
      <c r="J1" t="s">
        <v>494</v>
      </c>
      <c r="K1" t="s">
        <v>495</v>
      </c>
      <c r="Q1" t="s">
        <v>494</v>
      </c>
      <c r="R1" t="s">
        <v>495</v>
      </c>
      <c r="W1" t="s">
        <v>1</v>
      </c>
      <c r="X1" t="s">
        <v>31</v>
      </c>
      <c r="Y1" t="s">
        <v>25</v>
      </c>
      <c r="Z1" t="s">
        <v>344</v>
      </c>
      <c r="AE1" t="s">
        <v>496</v>
      </c>
      <c r="AF1" t="s">
        <v>497</v>
      </c>
      <c r="AG1" t="s">
        <v>498</v>
      </c>
      <c r="AH1" t="s">
        <v>499</v>
      </c>
      <c r="AI1" t="s">
        <v>507</v>
      </c>
      <c r="AJ1" t="s">
        <v>506</v>
      </c>
      <c r="AM1" t="s">
        <v>500</v>
      </c>
      <c r="AN1" t="s">
        <v>501</v>
      </c>
    </row>
    <row r="2" spans="1:40" x14ac:dyDescent="0.3">
      <c r="A2" t="s">
        <v>2</v>
      </c>
      <c r="B2">
        <f>COUNTIFS(Sheet4!$B:$B,$A2,Sheet4!$E:$E,B$1)</f>
        <v>10</v>
      </c>
      <c r="C2">
        <f>COUNTIFS(Sheet4!$B:$B,$A2,Sheet4!$E:$E,C$1)</f>
        <v>8</v>
      </c>
      <c r="D2">
        <f>COUNTIFS(Sheet4!$B:$B,$A2,Sheet4!$E:$E,D$1)</f>
        <v>1</v>
      </c>
      <c r="I2">
        <v>2014</v>
      </c>
      <c r="J2">
        <v>0</v>
      </c>
      <c r="K2">
        <v>0</v>
      </c>
      <c r="P2" t="s">
        <v>31</v>
      </c>
      <c r="Q2">
        <f>SUMIF(Sheet4!E:E,P2,Sheet4!O:O)</f>
        <v>8</v>
      </c>
      <c r="R2">
        <f>COUNTIF(Sheet4!E:E,P2)-Q2</f>
        <v>19</v>
      </c>
      <c r="W2" t="s">
        <v>2</v>
      </c>
      <c r="X2">
        <f>COUNTIFS(Sheet4!$B:$B, $W2, Sheet4!$E:$E, X$1, Sheet4!$O:$O, "&lt;&gt;1")</f>
        <v>7</v>
      </c>
      <c r="Y2">
        <f>COUNTIFS(Sheet4!$B:$B, $W2, Sheet4!$E:$E, Y$1, Sheet4!$O:$O, "&lt;&gt;1")</f>
        <v>7</v>
      </c>
      <c r="Z2">
        <f>COUNTIFS(Sheet4!$B:$B, $W2, Sheet4!$E:$E, Z$1, Sheet4!$O:$O, "&lt;&gt;1")</f>
        <v>1</v>
      </c>
      <c r="AE2" t="s">
        <v>68</v>
      </c>
      <c r="AF2" t="s">
        <v>31</v>
      </c>
      <c r="AG2">
        <v>500000</v>
      </c>
      <c r="AH2">
        <v>500000</v>
      </c>
      <c r="AI2">
        <f>IF(AG2=AH2,AG2,((AG2+AH2)/2))</f>
        <v>500000</v>
      </c>
      <c r="AJ2" t="str">
        <f>IF(AND(AI2&lt;1000000,AI2&lt;&gt;""),"&lt;1M",IF(AND(AI2&gt;=1000000,AI2&lt;=2500000),"1-2.5M",IF(AND(AI2&gt;=4000000,AI2&lt;=5000000),"4-5M",IF(AND(AI2&gt;=10000000,AI2&lt;=19000000),"10-19M",IF(AI2&gt;=20000000,"&gt;20M","")))))</f>
        <v>&lt;1M</v>
      </c>
      <c r="AL2" t="s">
        <v>502</v>
      </c>
      <c r="AM2">
        <v>1</v>
      </c>
      <c r="AN2">
        <v>2</v>
      </c>
    </row>
    <row r="3" spans="1:40" x14ac:dyDescent="0.3">
      <c r="A3" t="s">
        <v>10</v>
      </c>
      <c r="B3">
        <f>COUNTIFS(Sheet4!$B:$B,$A3,Sheet4!$E:$E,B$1)</f>
        <v>12</v>
      </c>
      <c r="C3">
        <f>COUNTIFS(Sheet4!$B:$B,$A3,Sheet4!$E:$E,C$1)</f>
        <v>9</v>
      </c>
      <c r="D3">
        <f>COUNTIFS(Sheet4!$B:$B,$A3,Sheet4!$E:$E,D$1)</f>
        <v>0</v>
      </c>
      <c r="I3">
        <v>2015</v>
      </c>
      <c r="J3">
        <v>2</v>
      </c>
      <c r="K3">
        <v>0</v>
      </c>
      <c r="P3" t="s">
        <v>25</v>
      </c>
      <c r="Q3">
        <f>SUMIF(Sheet4!E:E,P3,Sheet4!O:O)</f>
        <v>2</v>
      </c>
      <c r="R3">
        <f>COUNTIF(Sheet4!E:E,P3)-Q3</f>
        <v>15</v>
      </c>
      <c r="W3" t="s">
        <v>10</v>
      </c>
      <c r="X3">
        <f>COUNTIFS(Sheet4!$B:$B, $W3, Sheet4!$E:$E, X$1, Sheet4!$O:$O, "&lt;&gt;1")</f>
        <v>7</v>
      </c>
      <c r="Y3">
        <f>COUNTIFS(Sheet4!$B:$B, $W3, Sheet4!$E:$E, Y$1, Sheet4!$O:$O, "&lt;&gt;1")</f>
        <v>8</v>
      </c>
      <c r="Z3">
        <f>COUNTIFS(Sheet4!$B:$B, $W3, Sheet4!$E:$E, Z$1, Sheet4!$O:$O, "&lt;&gt;1")</f>
        <v>0</v>
      </c>
      <c r="AE3" t="s">
        <v>70</v>
      </c>
      <c r="AF3" t="s">
        <v>31</v>
      </c>
      <c r="AG3">
        <v>2000000</v>
      </c>
      <c r="AH3">
        <v>2000000</v>
      </c>
      <c r="AI3">
        <f t="shared" ref="AI3:AI18" si="0">IF(AG3=AH3,AG3,((AG3+AH3)/2))</f>
        <v>2000000</v>
      </c>
      <c r="AJ3" t="str">
        <f t="shared" ref="AJ3:AJ18" si="1">IF(AND(AI3&lt;1000000,AI3&lt;&gt;""),"&lt;1M",IF(AND(AI3&gt;=1000000,AI3&lt;=2500000),"1-2.5M",IF(AND(AI3&gt;=4000000,AI3&lt;=5000000),"4-5M",IF(AND(AI3&gt;=10000000,AI3&lt;=19000000),"10-19M",IF(AI3&gt;=20000000,"&gt;20M","")))))</f>
        <v>1-2.5M</v>
      </c>
      <c r="AL3" t="s">
        <v>503</v>
      </c>
      <c r="AM3">
        <f t="shared" ref="AM3:AM6" si="2">COUNTIFS($AJ$2:$AJ$18,$AL3,$AF$2:$AF$18,"Yes")</f>
        <v>6</v>
      </c>
      <c r="AN3">
        <f t="shared" ref="AN3:AN5" si="3">COUNTIFS($AJ$2:$AJ$18,$AL3,$AF$2:$AF$18,"No")</f>
        <v>2</v>
      </c>
    </row>
    <row r="4" spans="1:40" x14ac:dyDescent="0.3">
      <c r="A4" t="s">
        <v>21</v>
      </c>
      <c r="B4">
        <f>COUNTIFS(Sheet4!$B:$B,$A4,Sheet4!$E:$E,B$1)</f>
        <v>5</v>
      </c>
      <c r="C4">
        <f>COUNTIFS(Sheet4!$B:$B,$A4,Sheet4!$E:$E,C$1)</f>
        <v>0</v>
      </c>
      <c r="D4">
        <f>COUNTIFS(Sheet4!$B:$B,$A4,Sheet4!$E:$E,D$1)</f>
        <v>0</v>
      </c>
      <c r="I4">
        <v>2016</v>
      </c>
      <c r="J4">
        <v>7</v>
      </c>
      <c r="K4">
        <v>4</v>
      </c>
      <c r="P4" t="s">
        <v>344</v>
      </c>
      <c r="Q4">
        <f>SUMIF(Sheet4!E:E,P4,Sheet4!O:O)</f>
        <v>0</v>
      </c>
      <c r="R4">
        <f>COUNTIF(Sheet4!E:E,P4)-Q4</f>
        <v>1</v>
      </c>
      <c r="W4" t="s">
        <v>21</v>
      </c>
      <c r="X4">
        <f>COUNTIFS(Sheet4!$B:$B, $W4, Sheet4!$E:$E, X$1, Sheet4!$O:$O, "&lt;&gt;1")</f>
        <v>5</v>
      </c>
      <c r="Y4">
        <f>COUNTIFS(Sheet4!$B:$B, $W4, Sheet4!$E:$E, Y$1, Sheet4!$O:$O, "&lt;&gt;1")</f>
        <v>0</v>
      </c>
      <c r="Z4">
        <f>COUNTIFS(Sheet4!$B:$B, $W4, Sheet4!$E:$E, Z$1, Sheet4!$O:$O, "&lt;&gt;1")</f>
        <v>0</v>
      </c>
      <c r="AE4" t="s">
        <v>3</v>
      </c>
      <c r="AF4" t="s">
        <v>31</v>
      </c>
      <c r="AG4">
        <v>2000000</v>
      </c>
      <c r="AH4">
        <v>2000000</v>
      </c>
      <c r="AI4">
        <f t="shared" si="0"/>
        <v>2000000</v>
      </c>
      <c r="AJ4" t="str">
        <f t="shared" si="1"/>
        <v>1-2.5M</v>
      </c>
      <c r="AL4" t="s">
        <v>504</v>
      </c>
      <c r="AM4">
        <f t="shared" si="2"/>
        <v>1</v>
      </c>
      <c r="AN4">
        <f t="shared" si="3"/>
        <v>3</v>
      </c>
    </row>
    <row r="5" spans="1:40" x14ac:dyDescent="0.3">
      <c r="B5">
        <f>SUM(B2:B4)</f>
        <v>27</v>
      </c>
      <c r="C5">
        <f>SUM(C2:C4)</f>
        <v>17</v>
      </c>
      <c r="D5">
        <f>SUM(D2:D4)</f>
        <v>1</v>
      </c>
      <c r="E5">
        <f>SUM(B5:D5)</f>
        <v>45</v>
      </c>
      <c r="I5">
        <v>2017</v>
      </c>
      <c r="J5">
        <v>1</v>
      </c>
      <c r="K5">
        <v>8</v>
      </c>
      <c r="Q5">
        <f>SUM(Q2:Q4)</f>
        <v>10</v>
      </c>
      <c r="R5">
        <f>SUM(R2:R4)</f>
        <v>35</v>
      </c>
      <c r="S5">
        <f>SUM(Q5:R5)</f>
        <v>45</v>
      </c>
      <c r="X5">
        <f>SUM(X2:X4)</f>
        <v>19</v>
      </c>
      <c r="Y5">
        <f t="shared" ref="Y5:Z5" si="4">SUM(Y2:Y4)</f>
        <v>15</v>
      </c>
      <c r="Z5">
        <f t="shared" si="4"/>
        <v>1</v>
      </c>
      <c r="AA5">
        <f>SUM(X5:Z5)</f>
        <v>35</v>
      </c>
      <c r="AE5" t="s">
        <v>71</v>
      </c>
      <c r="AF5" t="s">
        <v>25</v>
      </c>
      <c r="AG5">
        <v>1000000</v>
      </c>
      <c r="AH5">
        <v>1000000</v>
      </c>
      <c r="AI5">
        <f t="shared" si="0"/>
        <v>1000000</v>
      </c>
      <c r="AJ5" t="str">
        <f t="shared" si="1"/>
        <v>1-2.5M</v>
      </c>
      <c r="AL5" t="s">
        <v>508</v>
      </c>
      <c r="AM5">
        <f t="shared" si="2"/>
        <v>1</v>
      </c>
      <c r="AN5">
        <f t="shared" si="3"/>
        <v>0</v>
      </c>
    </row>
    <row r="6" spans="1:40" x14ac:dyDescent="0.3">
      <c r="I6">
        <v>2018</v>
      </c>
      <c r="J6">
        <v>0</v>
      </c>
      <c r="K6">
        <v>8</v>
      </c>
      <c r="AE6" t="s">
        <v>72</v>
      </c>
      <c r="AF6" t="s">
        <v>25</v>
      </c>
      <c r="AG6">
        <v>1000000</v>
      </c>
      <c r="AH6">
        <v>1000000</v>
      </c>
      <c r="AI6">
        <f t="shared" si="0"/>
        <v>1000000</v>
      </c>
      <c r="AJ6" t="str">
        <f t="shared" si="1"/>
        <v>1-2.5M</v>
      </c>
      <c r="AL6" t="s">
        <v>505</v>
      </c>
      <c r="AM6">
        <f t="shared" si="2"/>
        <v>1</v>
      </c>
      <c r="AN6">
        <v>0</v>
      </c>
    </row>
    <row r="7" spans="1:40" x14ac:dyDescent="0.3">
      <c r="I7">
        <v>2019</v>
      </c>
      <c r="J7">
        <v>0</v>
      </c>
      <c r="K7">
        <v>2</v>
      </c>
      <c r="AE7" t="s">
        <v>73</v>
      </c>
      <c r="AF7" t="s">
        <v>25</v>
      </c>
      <c r="AG7">
        <v>4000000</v>
      </c>
      <c r="AH7">
        <v>4000000</v>
      </c>
      <c r="AI7">
        <f t="shared" si="0"/>
        <v>4000000</v>
      </c>
      <c r="AJ7" t="str">
        <f t="shared" si="1"/>
        <v>4-5M</v>
      </c>
    </row>
    <row r="8" spans="1:40" x14ac:dyDescent="0.3">
      <c r="I8">
        <v>2020</v>
      </c>
      <c r="J8">
        <v>0</v>
      </c>
      <c r="K8">
        <v>7</v>
      </c>
      <c r="AE8" t="s">
        <v>74</v>
      </c>
      <c r="AF8" t="s">
        <v>25</v>
      </c>
      <c r="AG8">
        <v>4000000</v>
      </c>
      <c r="AH8">
        <v>4000000</v>
      </c>
      <c r="AI8">
        <f t="shared" si="0"/>
        <v>4000000</v>
      </c>
      <c r="AJ8" t="str">
        <f t="shared" si="1"/>
        <v>4-5M</v>
      </c>
    </row>
    <row r="9" spans="1:40" x14ac:dyDescent="0.3">
      <c r="I9">
        <v>2021</v>
      </c>
      <c r="J9">
        <v>0</v>
      </c>
      <c r="K9">
        <v>2</v>
      </c>
      <c r="AE9" t="s">
        <v>75</v>
      </c>
      <c r="AF9" t="s">
        <v>31</v>
      </c>
      <c r="AG9">
        <v>2500000</v>
      </c>
      <c r="AH9">
        <v>2500000</v>
      </c>
      <c r="AI9">
        <f t="shared" si="0"/>
        <v>2500000</v>
      </c>
      <c r="AJ9" t="str">
        <f t="shared" si="1"/>
        <v>1-2.5M</v>
      </c>
    </row>
    <row r="10" spans="1:40" x14ac:dyDescent="0.3">
      <c r="I10">
        <v>2022</v>
      </c>
      <c r="J10">
        <v>0</v>
      </c>
      <c r="K10">
        <v>2</v>
      </c>
      <c r="AE10" t="s">
        <v>4</v>
      </c>
      <c r="AF10" t="s">
        <v>31</v>
      </c>
      <c r="AG10">
        <v>5000000</v>
      </c>
      <c r="AH10">
        <v>30000000</v>
      </c>
      <c r="AI10">
        <f t="shared" si="0"/>
        <v>17500000</v>
      </c>
      <c r="AJ10" t="str">
        <f t="shared" si="1"/>
        <v>10-19M</v>
      </c>
    </row>
    <row r="11" spans="1:40" x14ac:dyDescent="0.3">
      <c r="I11">
        <v>2023</v>
      </c>
      <c r="J11">
        <v>0</v>
      </c>
      <c r="K11">
        <v>2</v>
      </c>
      <c r="AE11" t="s">
        <v>76</v>
      </c>
      <c r="AF11" t="s">
        <v>31</v>
      </c>
      <c r="AG11">
        <v>5000000</v>
      </c>
      <c r="AH11">
        <v>5000000</v>
      </c>
      <c r="AI11">
        <f t="shared" si="0"/>
        <v>5000000</v>
      </c>
      <c r="AJ11" t="str">
        <f t="shared" si="1"/>
        <v>4-5M</v>
      </c>
    </row>
    <row r="12" spans="1:40" x14ac:dyDescent="0.3">
      <c r="J12">
        <f>SUM(J2:J11)</f>
        <v>10</v>
      </c>
      <c r="K12">
        <f>SUM(K2:K11)</f>
        <v>35</v>
      </c>
      <c r="L12">
        <f>SUM(J12:K12)</f>
        <v>45</v>
      </c>
      <c r="AE12" t="s">
        <v>77</v>
      </c>
      <c r="AF12" t="s">
        <v>25</v>
      </c>
      <c r="AG12">
        <v>4000000</v>
      </c>
      <c r="AH12">
        <v>4000000</v>
      </c>
      <c r="AI12">
        <f t="shared" si="0"/>
        <v>4000000</v>
      </c>
      <c r="AJ12" t="str">
        <f t="shared" si="1"/>
        <v>4-5M</v>
      </c>
    </row>
    <row r="13" spans="1:40" x14ac:dyDescent="0.3">
      <c r="AE13" t="s">
        <v>78</v>
      </c>
      <c r="AF13" t="s">
        <v>31</v>
      </c>
      <c r="AG13">
        <v>10000000</v>
      </c>
      <c r="AH13">
        <v>30000000</v>
      </c>
      <c r="AI13">
        <f t="shared" si="0"/>
        <v>20000000</v>
      </c>
      <c r="AJ13" t="str">
        <f t="shared" si="1"/>
        <v>&gt;20M</v>
      </c>
    </row>
    <row r="14" spans="1:40" x14ac:dyDescent="0.3">
      <c r="AE14" t="s">
        <v>5</v>
      </c>
      <c r="AF14" t="s">
        <v>31</v>
      </c>
      <c r="AG14">
        <v>1000000</v>
      </c>
      <c r="AH14">
        <v>1000000</v>
      </c>
      <c r="AI14">
        <f t="shared" si="0"/>
        <v>1000000</v>
      </c>
      <c r="AJ14" t="str">
        <f t="shared" si="1"/>
        <v>1-2.5M</v>
      </c>
    </row>
    <row r="15" spans="1:40" x14ac:dyDescent="0.3">
      <c r="AE15" t="s">
        <v>6</v>
      </c>
      <c r="AF15" t="s">
        <v>31</v>
      </c>
      <c r="AG15">
        <v>1000000</v>
      </c>
      <c r="AH15">
        <v>1000000</v>
      </c>
      <c r="AI15">
        <f t="shared" si="0"/>
        <v>1000000</v>
      </c>
      <c r="AJ15" t="str">
        <f t="shared" si="1"/>
        <v>1-2.5M</v>
      </c>
    </row>
    <row r="16" spans="1:40" x14ac:dyDescent="0.3">
      <c r="AE16" t="s">
        <v>7</v>
      </c>
      <c r="AF16" t="s">
        <v>31</v>
      </c>
      <c r="AG16">
        <v>1000000</v>
      </c>
      <c r="AH16">
        <v>1000000</v>
      </c>
      <c r="AI16">
        <f t="shared" si="0"/>
        <v>1000000</v>
      </c>
      <c r="AJ16" t="str">
        <f t="shared" si="1"/>
        <v>1-2.5M</v>
      </c>
    </row>
    <row r="17" spans="31:36" x14ac:dyDescent="0.3">
      <c r="AE17" t="s">
        <v>174</v>
      </c>
      <c r="AF17" t="s">
        <v>25</v>
      </c>
      <c r="AG17">
        <v>250000</v>
      </c>
      <c r="AH17">
        <v>1000000</v>
      </c>
      <c r="AI17">
        <f t="shared" si="0"/>
        <v>625000</v>
      </c>
      <c r="AJ17" t="str">
        <f t="shared" si="1"/>
        <v>&lt;1M</v>
      </c>
    </row>
    <row r="18" spans="31:36" x14ac:dyDescent="0.3">
      <c r="AE18" t="s">
        <v>175</v>
      </c>
      <c r="AF18" t="s">
        <v>25</v>
      </c>
      <c r="AG18">
        <v>250000</v>
      </c>
      <c r="AH18">
        <v>1000000</v>
      </c>
      <c r="AI18">
        <f t="shared" si="0"/>
        <v>625000</v>
      </c>
      <c r="AJ18" t="str">
        <f t="shared" si="1"/>
        <v>&lt;1M</v>
      </c>
    </row>
    <row r="33" spans="1:47" x14ac:dyDescent="0.3">
      <c r="A33" t="s">
        <v>404</v>
      </c>
    </row>
    <row r="34" spans="1:47" x14ac:dyDescent="0.3">
      <c r="A34" t="s">
        <v>0</v>
      </c>
      <c r="B34" t="s">
        <v>1</v>
      </c>
      <c r="C34" t="s">
        <v>28</v>
      </c>
      <c r="D34" t="s">
        <v>170</v>
      </c>
      <c r="E34" t="s">
        <v>171</v>
      </c>
      <c r="F34" t="s">
        <v>27</v>
      </c>
      <c r="G34" t="s">
        <v>34</v>
      </c>
      <c r="H34" t="s">
        <v>35</v>
      </c>
      <c r="I34" t="s">
        <v>26</v>
      </c>
      <c r="J34" t="s">
        <v>79</v>
      </c>
      <c r="K34" t="s">
        <v>32</v>
      </c>
      <c r="L34" t="s">
        <v>29</v>
      </c>
      <c r="M34" t="s">
        <v>110</v>
      </c>
      <c r="N34" t="s">
        <v>111</v>
      </c>
      <c r="O34" t="s">
        <v>158</v>
      </c>
      <c r="P34" t="s">
        <v>159</v>
      </c>
      <c r="Q34" t="s">
        <v>244</v>
      </c>
      <c r="S34" t="s">
        <v>277</v>
      </c>
      <c r="T34" t="s">
        <v>278</v>
      </c>
      <c r="U34" s="9" t="s">
        <v>315</v>
      </c>
      <c r="V34" t="s">
        <v>279</v>
      </c>
      <c r="W34" t="s">
        <v>281</v>
      </c>
      <c r="X34" t="s">
        <v>282</v>
      </c>
      <c r="Y34" t="s">
        <v>283</v>
      </c>
      <c r="Z34" t="s">
        <v>284</v>
      </c>
      <c r="AA34" t="s">
        <v>285</v>
      </c>
      <c r="AB34" t="s">
        <v>286</v>
      </c>
      <c r="AC34" t="s">
        <v>316</v>
      </c>
      <c r="AD34" t="s">
        <v>317</v>
      </c>
      <c r="AE34" t="s">
        <v>287</v>
      </c>
      <c r="AF34" t="s">
        <v>288</v>
      </c>
      <c r="AG34" t="s">
        <v>355</v>
      </c>
      <c r="AH34" t="s">
        <v>356</v>
      </c>
      <c r="AI34" t="s">
        <v>349</v>
      </c>
      <c r="AJ34" t="s">
        <v>357</v>
      </c>
      <c r="AK34" t="s">
        <v>359</v>
      </c>
      <c r="AL34" t="s">
        <v>353</v>
      </c>
      <c r="AM34" t="s">
        <v>360</v>
      </c>
      <c r="AN34" t="s">
        <v>350</v>
      </c>
      <c r="AO34" t="s">
        <v>351</v>
      </c>
      <c r="AP34" t="s">
        <v>426</v>
      </c>
      <c r="AQ34" t="s">
        <v>427</v>
      </c>
      <c r="AR34" t="s">
        <v>428</v>
      </c>
      <c r="AS34" t="s">
        <v>32</v>
      </c>
      <c r="AT34" t="s">
        <v>352</v>
      </c>
      <c r="AU34" t="s">
        <v>401</v>
      </c>
    </row>
    <row r="35" spans="1:47" x14ac:dyDescent="0.3">
      <c r="A35" s="10" t="s">
        <v>160</v>
      </c>
      <c r="B35" t="s">
        <v>2</v>
      </c>
      <c r="C35" t="s">
        <v>44</v>
      </c>
      <c r="D35" t="s">
        <v>248</v>
      </c>
      <c r="E35" t="s">
        <v>248</v>
      </c>
      <c r="F35" t="s">
        <v>31</v>
      </c>
      <c r="G35" s="1" t="s">
        <v>189</v>
      </c>
      <c r="H35" s="1" t="s">
        <v>190</v>
      </c>
      <c r="I35" t="s">
        <v>31</v>
      </c>
      <c r="J35" t="s">
        <v>25</v>
      </c>
      <c r="K35" t="s">
        <v>36</v>
      </c>
      <c r="L35" t="s">
        <v>36</v>
      </c>
      <c r="M35" t="s">
        <v>247</v>
      </c>
      <c r="N35" t="s">
        <v>191</v>
      </c>
      <c r="Q35">
        <v>1000000</v>
      </c>
      <c r="S35" t="s">
        <v>247</v>
      </c>
      <c r="U35" s="9"/>
      <c r="V35" t="s">
        <v>247</v>
      </c>
      <c r="W35" t="s">
        <v>191</v>
      </c>
      <c r="X35" t="s">
        <v>247</v>
      </c>
      <c r="Y35" t="s">
        <v>247</v>
      </c>
      <c r="Z35" t="s">
        <v>247</v>
      </c>
      <c r="AA35" t="s">
        <v>247</v>
      </c>
      <c r="AB35" t="s">
        <v>247</v>
      </c>
      <c r="AC35" t="s">
        <v>247</v>
      </c>
      <c r="AD35" t="s">
        <v>247</v>
      </c>
      <c r="AE35" t="s">
        <v>247</v>
      </c>
      <c r="AF35" t="s">
        <v>247</v>
      </c>
      <c r="AG35" s="6" t="s">
        <v>25</v>
      </c>
      <c r="AH35" s="6" t="s">
        <v>25</v>
      </c>
      <c r="AI35" s="6" t="s">
        <v>36</v>
      </c>
      <c r="AJ35" s="6" t="s">
        <v>25</v>
      </c>
      <c r="AK35" s="6" t="s">
        <v>36</v>
      </c>
      <c r="AL35" s="6" t="s">
        <v>25</v>
      </c>
      <c r="AM35" s="6" t="s">
        <v>36</v>
      </c>
      <c r="AN35" s="6" t="s">
        <v>247</v>
      </c>
      <c r="AO35" s="6" t="s">
        <v>247</v>
      </c>
      <c r="AP35" s="6" t="s">
        <v>247</v>
      </c>
      <c r="AQ35" s="6" t="s">
        <v>247</v>
      </c>
      <c r="AR35" s="6" t="s">
        <v>247</v>
      </c>
      <c r="AS35" s="6" t="s">
        <v>247</v>
      </c>
      <c r="AT35" s="6" t="s">
        <v>247</v>
      </c>
    </row>
    <row r="36" spans="1:47" x14ac:dyDescent="0.3">
      <c r="A36" s="11" t="s">
        <v>23</v>
      </c>
      <c r="B36" t="s">
        <v>21</v>
      </c>
      <c r="C36" t="s">
        <v>31</v>
      </c>
      <c r="D36" t="s">
        <v>31</v>
      </c>
      <c r="E36" t="s">
        <v>31</v>
      </c>
      <c r="F36" t="s">
        <v>31</v>
      </c>
      <c r="G36" s="1" t="s">
        <v>107</v>
      </c>
      <c r="H36" s="1" t="s">
        <v>108</v>
      </c>
      <c r="I36" t="s">
        <v>31</v>
      </c>
      <c r="J36" t="s">
        <v>31</v>
      </c>
      <c r="K36" s="1" t="s">
        <v>205</v>
      </c>
      <c r="L36" t="s">
        <v>36</v>
      </c>
      <c r="M36" t="s">
        <v>149</v>
      </c>
      <c r="N36" t="s">
        <v>155</v>
      </c>
      <c r="Q36" t="s">
        <v>36</v>
      </c>
      <c r="S36">
        <v>2016</v>
      </c>
      <c r="T36" t="s">
        <v>257</v>
      </c>
      <c r="U36" s="9" t="s">
        <v>257</v>
      </c>
      <c r="V36" t="s">
        <v>331</v>
      </c>
      <c r="W36" t="s">
        <v>155</v>
      </c>
      <c r="X36" t="s">
        <v>31</v>
      </c>
      <c r="Y36" t="s">
        <v>25</v>
      </c>
      <c r="Z36" t="s">
        <v>31</v>
      </c>
      <c r="AA36" t="s">
        <v>25</v>
      </c>
      <c r="AB36" t="s">
        <v>248</v>
      </c>
      <c r="AC36" t="s">
        <v>248</v>
      </c>
      <c r="AD36" t="s">
        <v>248</v>
      </c>
      <c r="AE36" t="s">
        <v>31</v>
      </c>
      <c r="AF36" t="s">
        <v>248</v>
      </c>
      <c r="AG36" s="6" t="s">
        <v>25</v>
      </c>
      <c r="AH36" s="6" t="s">
        <v>25</v>
      </c>
      <c r="AI36" s="6" t="s">
        <v>36</v>
      </c>
      <c r="AJ36" s="6" t="s">
        <v>25</v>
      </c>
      <c r="AK36" s="6" t="s">
        <v>36</v>
      </c>
      <c r="AL36" s="6" t="s">
        <v>25</v>
      </c>
      <c r="AM36" s="6" t="s">
        <v>36</v>
      </c>
      <c r="AN36" s="6" t="s">
        <v>25</v>
      </c>
      <c r="AO36" s="6" t="s">
        <v>36</v>
      </c>
      <c r="AP36" s="6" t="s">
        <v>36</v>
      </c>
      <c r="AQ36" s="6" t="s">
        <v>36</v>
      </c>
      <c r="AR36" s="6" t="s">
        <v>36</v>
      </c>
      <c r="AS36" s="6" t="s">
        <v>36</v>
      </c>
      <c r="AT36" s="6" t="s">
        <v>384</v>
      </c>
    </row>
    <row r="37" spans="1:47" x14ac:dyDescent="0.3">
      <c r="A37" s="13" t="s">
        <v>181</v>
      </c>
      <c r="B37" t="s">
        <v>10</v>
      </c>
      <c r="C37" t="s">
        <v>236</v>
      </c>
      <c r="D37" t="s">
        <v>31</v>
      </c>
      <c r="E37" t="s">
        <v>31</v>
      </c>
      <c r="F37" t="s">
        <v>25</v>
      </c>
      <c r="G37" t="s">
        <v>36</v>
      </c>
      <c r="H37" t="s">
        <v>36</v>
      </c>
      <c r="I37" t="s">
        <v>31</v>
      </c>
      <c r="J37" t="s">
        <v>25</v>
      </c>
      <c r="K37" t="s">
        <v>36</v>
      </c>
      <c r="L37" t="s">
        <v>36</v>
      </c>
      <c r="M37" t="s">
        <v>267</v>
      </c>
      <c r="N37" t="s">
        <v>238</v>
      </c>
      <c r="Q37" t="s">
        <v>36</v>
      </c>
      <c r="S37" t="s">
        <v>247</v>
      </c>
      <c r="T37" t="s">
        <v>267</v>
      </c>
      <c r="U37" s="9" t="s">
        <v>267</v>
      </c>
      <c r="V37" t="s">
        <v>247</v>
      </c>
      <c r="W37" t="s">
        <v>238</v>
      </c>
      <c r="X37" t="s">
        <v>247</v>
      </c>
      <c r="Y37" t="s">
        <v>247</v>
      </c>
      <c r="Z37" t="s">
        <v>247</v>
      </c>
      <c r="AA37" t="s">
        <v>247</v>
      </c>
      <c r="AB37" t="s">
        <v>247</v>
      </c>
      <c r="AC37" t="s">
        <v>247</v>
      </c>
      <c r="AD37" t="s">
        <v>247</v>
      </c>
      <c r="AE37" t="s">
        <v>247</v>
      </c>
      <c r="AF37" t="s">
        <v>247</v>
      </c>
      <c r="AG37" s="6" t="s">
        <v>25</v>
      </c>
      <c r="AH37" s="6" t="s">
        <v>25</v>
      </c>
      <c r="AI37" s="6" t="s">
        <v>36</v>
      </c>
      <c r="AJ37" s="6" t="s">
        <v>25</v>
      </c>
      <c r="AK37" s="6" t="s">
        <v>36</v>
      </c>
      <c r="AL37" s="6" t="s">
        <v>25</v>
      </c>
      <c r="AM37" s="6" t="s">
        <v>36</v>
      </c>
      <c r="AN37" s="6" t="s">
        <v>31</v>
      </c>
      <c r="AO37" s="6" t="s">
        <v>422</v>
      </c>
      <c r="AP37" s="6" t="s">
        <v>479</v>
      </c>
      <c r="AQ37" s="6" t="s">
        <v>480</v>
      </c>
      <c r="AR37" s="6" t="s">
        <v>247</v>
      </c>
      <c r="AS37" s="1" t="s">
        <v>481</v>
      </c>
      <c r="AT37" s="6" t="s">
        <v>394</v>
      </c>
    </row>
    <row r="38" spans="1:47" x14ac:dyDescent="0.3">
      <c r="A38" s="13" t="s">
        <v>187</v>
      </c>
      <c r="B38" t="s">
        <v>10</v>
      </c>
      <c r="C38" t="s">
        <v>236</v>
      </c>
      <c r="D38" t="s">
        <v>31</v>
      </c>
      <c r="E38" t="s">
        <v>31</v>
      </c>
      <c r="F38" t="s">
        <v>25</v>
      </c>
      <c r="G38" t="s">
        <v>36</v>
      </c>
      <c r="H38" t="s">
        <v>36</v>
      </c>
      <c r="I38" t="s">
        <v>31</v>
      </c>
      <c r="J38" t="s">
        <v>25</v>
      </c>
      <c r="K38" t="s">
        <v>36</v>
      </c>
      <c r="L38" t="s">
        <v>36</v>
      </c>
      <c r="M38" t="s">
        <v>272</v>
      </c>
      <c r="N38" t="s">
        <v>242</v>
      </c>
      <c r="Q38" t="s">
        <v>36</v>
      </c>
      <c r="S38" t="s">
        <v>247</v>
      </c>
      <c r="T38" t="s">
        <v>272</v>
      </c>
      <c r="U38" s="9" t="s">
        <v>272</v>
      </c>
      <c r="V38" t="s">
        <v>247</v>
      </c>
      <c r="W38" t="s">
        <v>242</v>
      </c>
      <c r="X38" t="s">
        <v>247</v>
      </c>
      <c r="Y38" t="s">
        <v>247</v>
      </c>
      <c r="Z38" t="s">
        <v>247</v>
      </c>
      <c r="AA38" t="s">
        <v>247</v>
      </c>
      <c r="AB38" t="s">
        <v>247</v>
      </c>
      <c r="AC38" t="s">
        <v>247</v>
      </c>
      <c r="AD38" t="s">
        <v>247</v>
      </c>
      <c r="AE38" t="s">
        <v>247</v>
      </c>
      <c r="AF38" t="s">
        <v>247</v>
      </c>
      <c r="AG38" s="6" t="s">
        <v>31</v>
      </c>
      <c r="AH38" s="6" t="s">
        <v>31</v>
      </c>
      <c r="AI38" s="6" t="s">
        <v>400</v>
      </c>
      <c r="AJ38" s="6" t="s">
        <v>25</v>
      </c>
      <c r="AK38" s="6" t="s">
        <v>36</v>
      </c>
      <c r="AL38" s="6" t="s">
        <v>25</v>
      </c>
      <c r="AM38" s="6" t="s">
        <v>36</v>
      </c>
      <c r="AN38" s="6" t="s">
        <v>25</v>
      </c>
      <c r="AO38" s="6" t="s">
        <v>36</v>
      </c>
      <c r="AP38" s="6" t="s">
        <v>36</v>
      </c>
      <c r="AQ38" s="6" t="s">
        <v>36</v>
      </c>
      <c r="AR38" s="6" t="s">
        <v>36</v>
      </c>
      <c r="AS38" s="6" t="s">
        <v>36</v>
      </c>
      <c r="AT38" s="6" t="s">
        <v>398</v>
      </c>
    </row>
  </sheetData>
  <conditionalFormatting sqref="C37:C38">
    <cfRule type="cellIs" dxfId="5" priority="4" operator="equal">
      <formula>"No"</formula>
    </cfRule>
  </conditionalFormatting>
  <conditionalFormatting sqref="D34:D38">
    <cfRule type="cellIs" dxfId="4" priority="1" operator="equal">
      <formula>"No"</formula>
    </cfRule>
    <cfRule type="cellIs" dxfId="3" priority="3" operator="equal">
      <formula>"No?"</formula>
    </cfRule>
  </conditionalFormatting>
  <conditionalFormatting sqref="D37:D38">
    <cfRule type="cellIs" dxfId="2" priority="5" operator="equal">
      <formula>"-"</formula>
    </cfRule>
    <cfRule type="cellIs" dxfId="1" priority="6" operator="equal">
      <formula>"??"</formula>
    </cfRule>
  </conditionalFormatting>
  <conditionalFormatting sqref="P34:P38">
    <cfRule type="cellIs" dxfId="0" priority="2" operator="equal">
      <formula>1</formula>
    </cfRule>
  </conditionalFormatting>
  <hyperlinks>
    <hyperlink ref="G36" r:id="rId1" xr:uid="{C1C61D8A-AEE8-48CA-B622-A726FC7C6450}"/>
    <hyperlink ref="H36" r:id="rId2" xr:uid="{CEFF8A35-46B8-48A3-93EB-0D2680880DC2}"/>
    <hyperlink ref="K36" r:id="rId3" xr:uid="{38D20833-15EF-4A74-A4FD-DC7F19D30B19}"/>
    <hyperlink ref="G35" r:id="rId4" xr:uid="{D246EA51-539C-4016-BBF9-6BD3567E04A4}"/>
    <hyperlink ref="H35" r:id="rId5" xr:uid="{107357F4-CB2F-489A-8CCD-8F5392987FD9}"/>
    <hyperlink ref="AS37" r:id="rId6" xr:uid="{C2211AD1-EEC6-42BF-A366-820E5261154F}"/>
  </hyperlinks>
  <pageMargins left="0.7" right="0.7" top="0.75" bottom="0.75" header="0.3" footer="0.3"/>
  <drawing r:id="rId7"/>
  <legacy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9991-7CCC-4E93-A642-EFC1414FE030}">
  <dimension ref="A1:AM46"/>
  <sheetViews>
    <sheetView workbookViewId="0">
      <selection activeCell="F46" sqref="F2:F46"/>
    </sheetView>
  </sheetViews>
  <sheetFormatPr defaultRowHeight="14.4" x14ac:dyDescent="0.3"/>
  <cols>
    <col min="1" max="1" width="13.109375" bestFit="1" customWidth="1"/>
    <col min="2" max="2" width="20.21875" bestFit="1" customWidth="1"/>
    <col min="3" max="3" width="16.33203125" bestFit="1" customWidth="1"/>
    <col min="4" max="4" width="20.21875" bestFit="1" customWidth="1"/>
    <col min="5" max="5" width="17.77734375" bestFit="1" customWidth="1"/>
    <col min="6" max="6" width="10.21875" bestFit="1" customWidth="1"/>
    <col min="7" max="7" width="9.6640625" bestFit="1" customWidth="1"/>
    <col min="9" max="9" width="11.21875" bestFit="1" customWidth="1"/>
    <col min="10" max="12" width="10.5546875" bestFit="1" customWidth="1"/>
    <col min="14" max="14" width="21.21875" bestFit="1" customWidth="1"/>
    <col min="15" max="15" width="20.21875" bestFit="1" customWidth="1"/>
    <col min="16" max="17" width="20.21875" customWidth="1"/>
    <col min="18" max="18" width="18.33203125" bestFit="1" customWidth="1"/>
    <col min="21" max="21" width="16.33203125" bestFit="1" customWidth="1"/>
    <col min="28" max="28" width="16.33203125" bestFit="1" customWidth="1"/>
  </cols>
  <sheetData>
    <row r="1" spans="1:39" x14ac:dyDescent="0.3">
      <c r="A1" t="s">
        <v>0</v>
      </c>
      <c r="B1" t="s">
        <v>281</v>
      </c>
      <c r="C1" t="s">
        <v>278</v>
      </c>
      <c r="D1" t="s">
        <v>277</v>
      </c>
      <c r="E1" t="s">
        <v>279</v>
      </c>
      <c r="F1" t="s">
        <v>158</v>
      </c>
      <c r="G1" t="s">
        <v>497</v>
      </c>
      <c r="I1" t="s">
        <v>511</v>
      </c>
      <c r="J1" t="s">
        <v>512</v>
      </c>
      <c r="K1" t="s">
        <v>513</v>
      </c>
      <c r="L1" t="s">
        <v>514</v>
      </c>
      <c r="N1" t="s">
        <v>515</v>
      </c>
      <c r="O1" t="s">
        <v>521</v>
      </c>
      <c r="R1" t="s">
        <v>522</v>
      </c>
      <c r="V1" t="s">
        <v>31</v>
      </c>
      <c r="W1" t="s">
        <v>25</v>
      </c>
      <c r="X1" t="s">
        <v>344</v>
      </c>
      <c r="AC1" t="s">
        <v>31</v>
      </c>
      <c r="AD1" t="s">
        <v>25</v>
      </c>
      <c r="AE1" t="s">
        <v>344</v>
      </c>
      <c r="AJ1" t="s">
        <v>31</v>
      </c>
      <c r="AK1" t="s">
        <v>25</v>
      </c>
      <c r="AL1" t="s">
        <v>344</v>
      </c>
    </row>
    <row r="2" spans="1:39" x14ac:dyDescent="0.3">
      <c r="A2" t="str">
        <f>Sheet4!A2</f>
        <v>4a O 144/14</v>
      </c>
      <c r="B2" s="6" t="str">
        <f>Sheet4!N2</f>
        <v>03.11.2015</v>
      </c>
      <c r="C2" t="str">
        <f>Sheet4!U2</f>
        <v>18.12.2014</v>
      </c>
      <c r="D2" t="str">
        <f>Sheet4!S2</f>
        <v>20.12.2012</v>
      </c>
      <c r="E2" t="str">
        <f>Sheet4!W2</f>
        <v>20.12.2012</v>
      </c>
      <c r="F2">
        <f>Sheet4!O2</f>
        <v>1</v>
      </c>
      <c r="G2" t="str">
        <f>Sheet4!E2</f>
        <v>Yes</v>
      </c>
      <c r="I2" s="15">
        <f>DATE(VALUE(RIGHT(B2,4)), VALUE(MID(B2,4,2)), VALUE(LEFT(B2,2)))</f>
        <v>42311</v>
      </c>
      <c r="J2" s="15">
        <f>DATE(VALUE(RIGHT(C2,4)), VALUE(MID(C2,4,2)), VALUE(LEFT(C2,2)))</f>
        <v>41991</v>
      </c>
      <c r="K2" s="15">
        <f>DATE(VALUE(RIGHT(D2,4)), VALUE(MID(D2,4,2)), VALUE(LEFT(D2,2)))</f>
        <v>41263</v>
      </c>
      <c r="L2" s="15">
        <f>DATE(VALUE(RIGHT(E2,4)), VALUE(MID(E2,4,2)), VALUE(LEFT(E2,2)))</f>
        <v>41263</v>
      </c>
      <c r="N2">
        <f>I2-J2</f>
        <v>320</v>
      </c>
      <c r="O2">
        <f>J2-K2</f>
        <v>728</v>
      </c>
      <c r="P2" t="b">
        <f>O2&gt;=1825</f>
        <v>0</v>
      </c>
      <c r="Q2" t="b">
        <f>O2&lt;=365</f>
        <v>0</v>
      </c>
      <c r="R2">
        <f>J2-L2</f>
        <v>728</v>
      </c>
      <c r="U2" t="s">
        <v>516</v>
      </c>
      <c r="V2">
        <f>COUNTIFS($G$2:$G$46, "Yes", $N$2:$N$46, "&lt;365", $F$2:$F$46, "&lt;&gt;1")</f>
        <v>3</v>
      </c>
      <c r="W2">
        <f>COUNTIFS($G$2:$G$46, "No", $N$2:$N$46, "&lt;365", $F$2:$F$46, "&lt;&gt;1")</f>
        <v>4</v>
      </c>
      <c r="X2">
        <f>COUNTIFS($G$2:$G$46, "n./a.", $N$2:$N$46, "&lt;365", $F$2:$F$46, "&lt;&gt;1")</f>
        <v>0</v>
      </c>
      <c r="AB2" t="s">
        <v>516</v>
      </c>
      <c r="AC2">
        <f>COUNTIFS($G$2:$G$46, "Yes", $O$2:$O$46, "&lt;365", $F$2:$F$46, "&lt;&gt;1")</f>
        <v>1</v>
      </c>
      <c r="AD2">
        <f>COUNTIFS($G$2:$G$46, "No", $O$2:$O$46, "&lt;365", $F$2:$F$46, "&lt;&gt;1")</f>
        <v>0</v>
      </c>
      <c r="AE2">
        <f>COUNTIFS($G$2:$G$46, "n./a.", $O$2:$O$46, "&lt;365", $F$2:$F$46, "&lt;&gt;1")</f>
        <v>0</v>
      </c>
      <c r="AI2" t="s">
        <v>516</v>
      </c>
      <c r="AJ2">
        <f>COUNTIFS($G$2:$G$46, "Yes", $R$2:$R$46, "&lt;365", $F$2:$F$46, "&lt;&gt;1")</f>
        <v>6</v>
      </c>
      <c r="AK2">
        <f>COUNTIFS($G$2:$G$46, "No", $R$2:$R$46, "&lt;365", $F$2:$F$46, "&lt;&gt;1")</f>
        <v>3</v>
      </c>
      <c r="AL2">
        <f>COUNTIFS($G$2:$G$46, "n./a.", $R$2:$R$46, "&lt;365", $F$2:$F$46, "&lt;&gt;1")</f>
        <v>0</v>
      </c>
    </row>
    <row r="3" spans="1:39" x14ac:dyDescent="0.3">
      <c r="A3" t="str">
        <f>Sheet4!A3</f>
        <v>4a O 126/14</v>
      </c>
      <c r="B3" s="6" t="str">
        <f>Sheet4!N3</f>
        <v>31.03.2016</v>
      </c>
      <c r="C3" t="str">
        <f>Sheet4!U3</f>
        <v>12.11.2014</v>
      </c>
      <c r="D3" t="str">
        <f>Sheet4!S3</f>
        <v>31.07.2014</v>
      </c>
      <c r="E3" t="str">
        <f>Sheet4!W3</f>
        <v>22.04.2015</v>
      </c>
      <c r="F3">
        <f>Sheet4!O3</f>
        <v>1</v>
      </c>
      <c r="G3" t="str">
        <f>Sheet4!E3</f>
        <v>Yes</v>
      </c>
      <c r="I3" s="15">
        <f>DATE(VALUE(RIGHT(B3,4)), VALUE(MID(B3,4,2)), VALUE(LEFT(B3,2)))</f>
        <v>42460</v>
      </c>
      <c r="J3" s="15">
        <f t="shared" ref="J3:J46" si="0">DATE(VALUE(RIGHT(C3,4)), VALUE(MID(C3,4,2)), VALUE(LEFT(C3,2)))</f>
        <v>41955</v>
      </c>
      <c r="K3" s="15">
        <f t="shared" ref="K3:K46" si="1">DATE(VALUE(RIGHT(D3,4)), VALUE(MID(D3,4,2)), VALUE(LEFT(D3,2)))</f>
        <v>41851</v>
      </c>
      <c r="L3" s="15">
        <f t="shared" ref="L3:L46" si="2">DATE(VALUE(RIGHT(E3,4)), VALUE(MID(E3,4,2)), VALUE(LEFT(E3,2)))</f>
        <v>42116</v>
      </c>
      <c r="N3">
        <f t="shared" ref="N3:N46" si="3">I3-J3</f>
        <v>505</v>
      </c>
      <c r="O3">
        <f t="shared" ref="O3:O46" si="4">J3-K3</f>
        <v>104</v>
      </c>
      <c r="P3" t="b">
        <f t="shared" ref="P3:P46" si="5">O3&gt;=1825</f>
        <v>0</v>
      </c>
      <c r="Q3" t="b">
        <f t="shared" ref="Q3:Q46" si="6">O3&lt;=365</f>
        <v>1</v>
      </c>
      <c r="R3">
        <f t="shared" ref="R3:R46" si="7">J3-L3</f>
        <v>-161</v>
      </c>
      <c r="U3" t="s">
        <v>517</v>
      </c>
      <c r="V3">
        <f>COUNTIFS($G$2:$G$46, "Yes", $N$2:$N$46, "&gt;=365", $N$2:$N$46, "&lt;730", $F$2:$F$46, "&lt;&gt;1")</f>
        <v>10</v>
      </c>
      <c r="W3">
        <f>COUNTIFS($G$2:$G$46, "No", $N$2:$N$46, "&gt;=365", $N$2:$N$46, "&lt;730", $F$2:$F$46, "&lt;&gt;1")</f>
        <v>9</v>
      </c>
      <c r="X3">
        <f>COUNTIFS($G$2:$G$46, "n./a.", $N$2:$N$46, "&gt;=365", $N$2:$N$46, "&lt;730", $F$2:$F$46, "&lt;&gt;1")</f>
        <v>1</v>
      </c>
      <c r="AB3" t="s">
        <v>517</v>
      </c>
      <c r="AC3">
        <f>COUNTIFS($G$2:$G$46, "Yes", $O$2:$O$46, "&gt;=365", $O$2:$O$46, "&lt;730", $F$2:$F$46, "&lt;&gt;1")</f>
        <v>4</v>
      </c>
      <c r="AD3">
        <f>COUNTIFS($G$2:$G$46, "No", $O$2:$O$46, "&gt;=365", $O$2:$O$46, "&lt;730", $F$2:$F$46, "&lt;&gt;1")</f>
        <v>6</v>
      </c>
      <c r="AE3">
        <f>COUNTIFS($G$2:$G$46, "n./a.", $O$2:$O$46, "&gt;=365", $O$2:$O$46, "&lt;730", $F$2:$F$46, "&lt;&gt;1")</f>
        <v>0</v>
      </c>
      <c r="AI3" t="s">
        <v>517</v>
      </c>
      <c r="AJ3">
        <f>COUNTIFS($G$2:$G$46, "Yes", $R$2:$R$46, "&gt;=365", $R$2:$R$46, "&lt;730", $F$2:$F$46, "&lt;&gt;1")</f>
        <v>1</v>
      </c>
      <c r="AK3">
        <f>COUNTIFS($G$2:$G$46, "No", $R$2:$R$46, "&gt;=365", $R$2:$R$46, "&lt;730", $F$2:$F$46, "&lt;&gt;1")</f>
        <v>5</v>
      </c>
      <c r="AL3">
        <f>COUNTIFS($G$2:$G$46, "n./a.", $R$2:$R$46, "&gt;=365", $R$2:$R$46, "&lt;730", $F$2:$F$46, "&lt;&gt;1")</f>
        <v>0</v>
      </c>
    </row>
    <row r="4" spans="1:39" x14ac:dyDescent="0.3">
      <c r="A4" t="str">
        <f>Sheet4!A4</f>
        <v>4a O 73/14</v>
      </c>
      <c r="B4" s="6" t="str">
        <f>Sheet4!N4</f>
        <v>31.03.2016</v>
      </c>
      <c r="C4" t="str">
        <f>Sheet4!U4</f>
        <v>23.07.2014</v>
      </c>
      <c r="D4" t="str">
        <f>Sheet4!S4</f>
        <v>31.07.2014</v>
      </c>
      <c r="E4" t="str">
        <f>Sheet4!W4</f>
        <v>22.04.2015</v>
      </c>
      <c r="F4">
        <f>Sheet4!O4</f>
        <v>1</v>
      </c>
      <c r="G4" t="str">
        <f>Sheet4!E4</f>
        <v>Yes</v>
      </c>
      <c r="I4" s="15">
        <f t="shared" ref="I4:I46" si="8">DATE(VALUE(RIGHT(B4,4)), VALUE(MID(B4,4,2)), VALUE(LEFT(B4,2)))</f>
        <v>42460</v>
      </c>
      <c r="J4" s="15">
        <f t="shared" si="0"/>
        <v>41843</v>
      </c>
      <c r="K4" s="15">
        <f t="shared" si="1"/>
        <v>41851</v>
      </c>
      <c r="L4" s="15">
        <f t="shared" si="2"/>
        <v>42116</v>
      </c>
      <c r="N4">
        <f t="shared" si="3"/>
        <v>617</v>
      </c>
      <c r="O4">
        <f t="shared" si="4"/>
        <v>-8</v>
      </c>
      <c r="P4" t="b">
        <f t="shared" si="5"/>
        <v>0</v>
      </c>
      <c r="Q4" t="b">
        <f t="shared" si="6"/>
        <v>1</v>
      </c>
      <c r="R4">
        <f t="shared" si="7"/>
        <v>-273</v>
      </c>
      <c r="U4" t="s">
        <v>518</v>
      </c>
      <c r="V4">
        <f>COUNTIFS($G$2:$G$46, "Yes", $N$2:$N$46, "&gt;=730", $N$2:$N$46, "&lt;1095", $F$2:$F$46, "&lt;&gt;1")</f>
        <v>0</v>
      </c>
      <c r="W4">
        <f>COUNTIFS($G$2:$G$46, "No", $N$2:$N$46, "&gt;=730", $N$2:$N$46, "&lt;1095", $F$2:$F$46, "&lt;&gt;1")</f>
        <v>1</v>
      </c>
      <c r="X4">
        <f>COUNTIFS($G$2:$G$46, "n./a.", $N$2:$N$46, "&gt;=730", $N$2:$N$46, "&lt;1095", $F$2:$F$46, "&lt;&gt;1")</f>
        <v>0</v>
      </c>
      <c r="AB4" t="s">
        <v>518</v>
      </c>
      <c r="AC4">
        <f>COUNTIFS($G$2:$G$46, "Yes", $O$2:$O$46, "&gt;=730", $O$2:$O$46, "&lt;1095")</f>
        <v>1</v>
      </c>
      <c r="AD4">
        <f>COUNTIFS($G$2:$G$46, "No", $O$2:$O$46, "&gt;=730", $O$2:$O$46, "&lt;1095", $F$2:$F$46, "&lt;&gt;1")</f>
        <v>2</v>
      </c>
      <c r="AE4">
        <f>COUNTIFS($G$2:$G$46, "n./a.", $O$2:$O$46, "&gt;=730", $O$2:$O$46, "&lt;1095", $F$2:$F$46, "&lt;&gt;1")</f>
        <v>0</v>
      </c>
      <c r="AI4" t="s">
        <v>518</v>
      </c>
      <c r="AJ4">
        <f>COUNTIFS($G$2:$G$46, "Yes", $R$2:$R$46, "&gt;=730", $R$2:$R$46, "&lt;1095", $F$2:$F$46, "&lt;&gt;1")</f>
        <v>2</v>
      </c>
      <c r="AK4">
        <f>COUNTIFS($G$2:$G$46, "No", $R$2:$R$46, "&gt;=730", $R$2:$R$46, "&lt;1095", $F$2:$F$46, "&lt;&gt;1")</f>
        <v>2</v>
      </c>
      <c r="AL4">
        <f>COUNTIFS($G$2:$G$46, "n./a.", $R$2:$R$46, "&gt;=730", $R$2:$R$46, "&lt;1095", $F$2:$F$46, "&lt;&gt;1")</f>
        <v>1</v>
      </c>
    </row>
    <row r="5" spans="1:39" x14ac:dyDescent="0.3">
      <c r="A5" t="str">
        <f>Sheet4!A5</f>
        <v>4a O 16/16</v>
      </c>
      <c r="B5" s="6" t="str">
        <f>Sheet4!N5</f>
        <v>13.07.2017</v>
      </c>
      <c r="C5" t="str">
        <f>Sheet4!U5</f>
        <v>18.02.2016</v>
      </c>
      <c r="D5" t="str">
        <f>Sheet4!S5</f>
        <v>04.12.2012</v>
      </c>
      <c r="E5" t="str">
        <f>Sheet4!W5</f>
        <v>04.12.2012</v>
      </c>
      <c r="F5">
        <f>Sheet4!O5</f>
        <v>0</v>
      </c>
      <c r="G5" t="str">
        <f>Sheet4!E5</f>
        <v>No</v>
      </c>
      <c r="I5" s="15">
        <f t="shared" si="8"/>
        <v>42929</v>
      </c>
      <c r="J5" s="15">
        <f t="shared" si="0"/>
        <v>42418</v>
      </c>
      <c r="K5" s="15">
        <f t="shared" si="1"/>
        <v>41247</v>
      </c>
      <c r="L5" s="15">
        <f t="shared" si="2"/>
        <v>41247</v>
      </c>
      <c r="N5">
        <f t="shared" si="3"/>
        <v>511</v>
      </c>
      <c r="O5">
        <f t="shared" si="4"/>
        <v>1171</v>
      </c>
      <c r="P5" t="b">
        <f t="shared" si="5"/>
        <v>0</v>
      </c>
      <c r="Q5" t="b">
        <f t="shared" si="6"/>
        <v>0</v>
      </c>
      <c r="R5">
        <f t="shared" si="7"/>
        <v>1171</v>
      </c>
      <c r="U5" t="s">
        <v>519</v>
      </c>
      <c r="V5">
        <f>COUNTIFS($G$2:$G$46, "Yes", $N$2:$N$46, "&gt;=1095", $N$2:$N$46, "&lt;1825", $F$2:$F$46, "&lt;&gt;1")</f>
        <v>1</v>
      </c>
      <c r="W5">
        <f>COUNTIFS($G$2:$G$46, "No", $N$2:$N$46, "&gt;=1095", $N$2:$N$46, "&lt;1825", $F$2:$F$46, "&lt;&gt;1")</f>
        <v>0</v>
      </c>
      <c r="X5">
        <f>COUNTIFS($G$2:$G$46, "n./a.", $N$2:$N$46, "&gt;=1095", $N$2:$N$46, "&lt;1825", $F$2:$F$46, "&lt;&gt;1")</f>
        <v>0</v>
      </c>
      <c r="AB5" t="s">
        <v>519</v>
      </c>
      <c r="AC5">
        <f>COUNTIFS($G$2:$G$46, "Yes", $O$2:$O$46, "&gt;=1095", $O$2:$O$46, "&lt;1825", $F$2:$F$46, "&lt;&gt;1")</f>
        <v>1</v>
      </c>
      <c r="AD5">
        <f>COUNTIFS($G$2:$G$46, "No", $O$2:$O$46, "&gt;=1095", $O$2:$O$46, "&lt;1825", $F$2:$F$46, "&lt;&gt;1")</f>
        <v>4</v>
      </c>
      <c r="AE5">
        <f>COUNTIFS($G$2:$G$46, "n./a.", $O$2:$O$46, "&gt;=1095", $O$2:$O$46, "&lt;1825", $F$2:$F$46, "&lt;&gt;1")</f>
        <v>1</v>
      </c>
      <c r="AF5" t="s">
        <v>523</v>
      </c>
      <c r="AI5" t="s">
        <v>519</v>
      </c>
      <c r="AJ5">
        <f>COUNTIFS($G$2:$G$46, "Yes", $R$2:$R$46, "&gt;=1095", $R$2:$R$46, "&lt;1825", $F$2:$F$46, "&lt;&gt;1")</f>
        <v>0</v>
      </c>
      <c r="AK5">
        <f>COUNTIFS($G$2:$G$46, "No", $R$2:$R$46, "&gt;=1095", $R$2:$R$46, "&lt;1825", $F$2:$F$46, "&lt;&gt;1")</f>
        <v>3</v>
      </c>
      <c r="AL5">
        <f>COUNTIFS($G$2:$G$46, "n./a.", $R$2:$R$46, "&gt;=1095", $R$2:$R$46, "&lt;1825", $F$2:$F$46, "&lt;&gt;1")</f>
        <v>0</v>
      </c>
      <c r="AM5" t="s">
        <v>523</v>
      </c>
    </row>
    <row r="6" spans="1:39" x14ac:dyDescent="0.3">
      <c r="A6" t="str">
        <f>Sheet4!A6</f>
        <v>4a O 35/16</v>
      </c>
      <c r="B6" s="6" t="str">
        <f>Sheet4!N6</f>
        <v>13.07.2017</v>
      </c>
      <c r="C6" t="str">
        <f>Sheet4!U6</f>
        <v>09.04.2016</v>
      </c>
      <c r="D6" t="str">
        <f>Sheet4!S6</f>
        <v>04.12.2012</v>
      </c>
      <c r="E6" t="str">
        <f>Sheet4!W6</f>
        <v>04.12.2012</v>
      </c>
      <c r="F6">
        <f>Sheet4!O6</f>
        <v>0</v>
      </c>
      <c r="G6" t="str">
        <f>Sheet4!E6</f>
        <v>No</v>
      </c>
      <c r="I6" s="15">
        <f t="shared" si="8"/>
        <v>42929</v>
      </c>
      <c r="J6" s="15">
        <f t="shared" si="0"/>
        <v>42469</v>
      </c>
      <c r="K6" s="15">
        <f t="shared" si="1"/>
        <v>41247</v>
      </c>
      <c r="L6" s="15">
        <f t="shared" si="2"/>
        <v>41247</v>
      </c>
      <c r="N6">
        <f t="shared" si="3"/>
        <v>460</v>
      </c>
      <c r="O6">
        <f t="shared" si="4"/>
        <v>1222</v>
      </c>
      <c r="P6" t="b">
        <f t="shared" si="5"/>
        <v>0</v>
      </c>
      <c r="Q6" t="b">
        <f t="shared" si="6"/>
        <v>0</v>
      </c>
      <c r="R6">
        <f t="shared" si="7"/>
        <v>1222</v>
      </c>
      <c r="U6" t="s">
        <v>520</v>
      </c>
      <c r="V6">
        <f>COUNTIFS($G$2:$G$46, "Yes", $N$2:$N$46, "&gt;=1825")</f>
        <v>0</v>
      </c>
      <c r="W6">
        <f>COUNTIFS($G$2:$G$46, "No", $N$2:$N$46, "&gt;=1825")</f>
        <v>0</v>
      </c>
      <c r="X6">
        <f>COUNTIFS($G$2:$G$46, "n./a.", $N$2:$N$46, "&gt;=1825")</f>
        <v>0</v>
      </c>
      <c r="AB6" t="s">
        <v>520</v>
      </c>
      <c r="AC6">
        <f>COUNTIFS($G$2:$G$46, "Yes", $O$2:$O$46, "&gt;=1825", $F$2:$F$46, "&lt;&gt;1")</f>
        <v>4</v>
      </c>
      <c r="AD6">
        <f>COUNTIFS($G$2:$G$46, "No", $O$2:$O$46, "&gt;=1825", $F$2:$F$46, "&lt;&gt;1")</f>
        <v>1</v>
      </c>
      <c r="AE6">
        <f>COUNTIFS($G$2:$G$46, "n./a.", $O$2:$O$46, "&gt;=1825", $F$2:$F$46, "&lt;&gt;1")</f>
        <v>0</v>
      </c>
      <c r="AF6" t="s">
        <v>524</v>
      </c>
      <c r="AG6" t="s">
        <v>536</v>
      </c>
      <c r="AI6" t="s">
        <v>520</v>
      </c>
      <c r="AJ6">
        <f>COUNTIFS($G$2:$G$46, "Yes", $R$2:$R$46, "&gt;=1825", $F$2:$F$46, "&lt;&gt;1")</f>
        <v>4</v>
      </c>
      <c r="AK6">
        <f>COUNTIFS($G$2:$G$46, "No", $R$2:$R$46, "&gt;=1825", $F$2:$F$46, "&lt;&gt;1")</f>
        <v>0</v>
      </c>
      <c r="AL6">
        <f>COUNTIFS($G$2:$G$46, "n./a.", $R$2:$R$46, "&gt;=1825", $F$2:$F$46, "&lt;&gt;1")</f>
        <v>0</v>
      </c>
      <c r="AM6" t="s">
        <v>525</v>
      </c>
    </row>
    <row r="7" spans="1:39" x14ac:dyDescent="0.3">
      <c r="A7" t="str">
        <f>Sheet4!A7</f>
        <v>4c O 72/17</v>
      </c>
      <c r="B7" s="6" t="str">
        <f>Sheet4!N7</f>
        <v>11.07.2018</v>
      </c>
      <c r="C7" t="str">
        <f>Sheet4!U7</f>
        <v>25.08.2017</v>
      </c>
      <c r="D7" t="str">
        <f>Sheet4!S7</f>
        <v>25.03.2016</v>
      </c>
      <c r="E7" t="str">
        <f>Sheet4!W7</f>
        <v>25.03.2016</v>
      </c>
      <c r="F7">
        <f>Sheet4!O7</f>
        <v>0</v>
      </c>
      <c r="G7" t="str">
        <f>Sheet4!E7</f>
        <v>No</v>
      </c>
      <c r="I7" s="15">
        <f t="shared" si="8"/>
        <v>43292</v>
      </c>
      <c r="J7" s="15">
        <f t="shared" si="0"/>
        <v>42972</v>
      </c>
      <c r="K7" s="15">
        <f t="shared" si="1"/>
        <v>42454</v>
      </c>
      <c r="L7" s="15">
        <f t="shared" si="2"/>
        <v>42454</v>
      </c>
      <c r="N7">
        <f t="shared" si="3"/>
        <v>320</v>
      </c>
      <c r="O7">
        <f t="shared" si="4"/>
        <v>518</v>
      </c>
      <c r="P7" t="b">
        <f t="shared" si="5"/>
        <v>0</v>
      </c>
      <c r="Q7" t="b">
        <f t="shared" si="6"/>
        <v>0</v>
      </c>
      <c r="R7">
        <f t="shared" si="7"/>
        <v>518</v>
      </c>
      <c r="V7">
        <f>SUM(V2:V6)</f>
        <v>14</v>
      </c>
      <c r="W7">
        <f t="shared" ref="W7:X7" si="9">SUM(W2:W6)</f>
        <v>14</v>
      </c>
      <c r="X7">
        <f t="shared" si="9"/>
        <v>1</v>
      </c>
      <c r="Y7">
        <f>SUM(V7:X7)</f>
        <v>29</v>
      </c>
      <c r="AC7">
        <f>SUM(AC2:AC6)</f>
        <v>11</v>
      </c>
      <c r="AD7">
        <f t="shared" ref="AD7" si="10">SUM(AD2:AD6)</f>
        <v>13</v>
      </c>
      <c r="AE7">
        <f t="shared" ref="AE7" si="11">SUM(AE2:AE6)</f>
        <v>1</v>
      </c>
      <c r="AF7">
        <f>SUM(AC7:AE7)</f>
        <v>25</v>
      </c>
      <c r="AJ7">
        <f>SUM(AJ2:AJ6)</f>
        <v>13</v>
      </c>
      <c r="AK7">
        <f t="shared" ref="AK7" si="12">SUM(AK2:AK6)</f>
        <v>13</v>
      </c>
      <c r="AL7">
        <f t="shared" ref="AL7" si="13">SUM(AL2:AL6)</f>
        <v>1</v>
      </c>
      <c r="AM7">
        <f>SUM(AJ7:AL7)</f>
        <v>27</v>
      </c>
    </row>
    <row r="8" spans="1:39" x14ac:dyDescent="0.3">
      <c r="A8" t="str">
        <f>Sheet4!A8</f>
        <v>4c O 77/17</v>
      </c>
      <c r="B8" s="6" t="str">
        <f>Sheet4!N8</f>
        <v>11.07.2018</v>
      </c>
      <c r="C8" t="str">
        <f>Sheet4!U8</f>
        <v>11.09.2017</v>
      </c>
      <c r="D8" t="str">
        <f>Sheet4!S8</f>
        <v>25.03.2016</v>
      </c>
      <c r="E8" t="str">
        <f>Sheet4!W8</f>
        <v>25.03.2016</v>
      </c>
      <c r="F8">
        <f>Sheet4!O8</f>
        <v>0</v>
      </c>
      <c r="G8" t="str">
        <f>Sheet4!E8</f>
        <v>No</v>
      </c>
      <c r="I8" s="15">
        <f t="shared" si="8"/>
        <v>43292</v>
      </c>
      <c r="J8" s="15">
        <f t="shared" si="0"/>
        <v>42989</v>
      </c>
      <c r="K8" s="15">
        <f t="shared" si="1"/>
        <v>42454</v>
      </c>
      <c r="L8" s="15">
        <f t="shared" si="2"/>
        <v>42454</v>
      </c>
      <c r="N8">
        <f t="shared" si="3"/>
        <v>303</v>
      </c>
      <c r="O8">
        <f t="shared" si="4"/>
        <v>535</v>
      </c>
      <c r="P8" t="b">
        <f t="shared" si="5"/>
        <v>0</v>
      </c>
      <c r="Q8" t="b">
        <f t="shared" si="6"/>
        <v>0</v>
      </c>
      <c r="R8">
        <f t="shared" si="7"/>
        <v>535</v>
      </c>
    </row>
    <row r="9" spans="1:39" x14ac:dyDescent="0.3">
      <c r="A9" t="str">
        <f>Sheet4!A9</f>
        <v>4a O 15/17</v>
      </c>
      <c r="B9" s="6" t="str">
        <f>Sheet4!N9</f>
        <v>09.11.2018</v>
      </c>
      <c r="C9" t="str">
        <f>Sheet4!U9</f>
        <v>05.02.2017</v>
      </c>
      <c r="D9" t="str">
        <f>Sheet4!S9</f>
        <v>08.09.2011</v>
      </c>
      <c r="E9" t="str">
        <f>Sheet4!W9</f>
        <v>08.09.2011</v>
      </c>
      <c r="F9">
        <f>Sheet4!O9</f>
        <v>0</v>
      </c>
      <c r="G9" t="str">
        <f>Sheet4!E9</f>
        <v>Yes</v>
      </c>
      <c r="I9" s="15">
        <f t="shared" si="8"/>
        <v>43413</v>
      </c>
      <c r="J9" s="15">
        <f t="shared" si="0"/>
        <v>42771</v>
      </c>
      <c r="K9" s="15">
        <f t="shared" si="1"/>
        <v>40794</v>
      </c>
      <c r="L9" s="15">
        <f t="shared" si="2"/>
        <v>40794</v>
      </c>
      <c r="N9">
        <f t="shared" si="3"/>
        <v>642</v>
      </c>
      <c r="O9">
        <f t="shared" si="4"/>
        <v>1977</v>
      </c>
      <c r="P9">
        <v>1</v>
      </c>
      <c r="Q9" t="b">
        <f t="shared" si="6"/>
        <v>0</v>
      </c>
      <c r="R9">
        <f t="shared" si="7"/>
        <v>1977</v>
      </c>
    </row>
    <row r="10" spans="1:39" x14ac:dyDescent="0.3">
      <c r="A10" t="str">
        <f>Sheet4!A10</f>
        <v>4c O 3/17</v>
      </c>
      <c r="B10" s="6" t="str">
        <f>Sheet4!N10</f>
        <v>21.12.2018</v>
      </c>
      <c r="C10" t="str">
        <f>Sheet4!U10</f>
        <v>11.01.2017</v>
      </c>
      <c r="D10" t="str">
        <f>Sheet4!S10</f>
        <v>03.11.2008</v>
      </c>
      <c r="E10" t="str">
        <f>Sheet4!W10</f>
        <v>06.09.2011</v>
      </c>
      <c r="F10">
        <f>Sheet4!O10</f>
        <v>0</v>
      </c>
      <c r="G10" t="str">
        <f>Sheet4!E10</f>
        <v>Yes</v>
      </c>
      <c r="I10" s="15">
        <f t="shared" si="8"/>
        <v>43455</v>
      </c>
      <c r="J10" s="15">
        <f t="shared" si="0"/>
        <v>42746</v>
      </c>
      <c r="K10" s="15">
        <f t="shared" si="1"/>
        <v>39755</v>
      </c>
      <c r="L10" s="15">
        <f t="shared" si="2"/>
        <v>40792</v>
      </c>
      <c r="N10">
        <f t="shared" si="3"/>
        <v>709</v>
      </c>
      <c r="O10">
        <f t="shared" si="4"/>
        <v>2991</v>
      </c>
      <c r="P10">
        <v>1</v>
      </c>
      <c r="Q10" t="b">
        <f t="shared" si="6"/>
        <v>0</v>
      </c>
      <c r="R10">
        <f t="shared" si="7"/>
        <v>1954</v>
      </c>
    </row>
    <row r="11" spans="1:39" x14ac:dyDescent="0.3">
      <c r="A11" t="str">
        <f>Sheet4!A11</f>
        <v>4a O 17/17</v>
      </c>
      <c r="B11" s="6" t="str">
        <f>Sheet4!N11</f>
        <v>09.11.2018</v>
      </c>
      <c r="C11" t="str">
        <f>Sheet4!U11</f>
        <v>10.02.2017</v>
      </c>
      <c r="D11" t="str">
        <f>Sheet4!S11</f>
        <v>06.09.2011</v>
      </c>
      <c r="E11" t="str">
        <f>Sheet4!W11</f>
        <v>06.09.2011</v>
      </c>
      <c r="F11">
        <f>Sheet4!O11</f>
        <v>0</v>
      </c>
      <c r="G11" t="str">
        <f>Sheet4!E11</f>
        <v>Yes</v>
      </c>
      <c r="I11" s="15">
        <f t="shared" si="8"/>
        <v>43413</v>
      </c>
      <c r="J11" s="15">
        <f t="shared" si="0"/>
        <v>42776</v>
      </c>
      <c r="K11" s="15">
        <f t="shared" si="1"/>
        <v>40792</v>
      </c>
      <c r="L11" s="15">
        <f t="shared" si="2"/>
        <v>40792</v>
      </c>
      <c r="N11">
        <f t="shared" si="3"/>
        <v>637</v>
      </c>
      <c r="O11">
        <f t="shared" si="4"/>
        <v>1984</v>
      </c>
      <c r="P11">
        <v>1</v>
      </c>
      <c r="Q11" t="b">
        <f t="shared" si="6"/>
        <v>0</v>
      </c>
      <c r="R11">
        <f t="shared" si="7"/>
        <v>1984</v>
      </c>
    </row>
    <row r="12" spans="1:39" x14ac:dyDescent="0.3">
      <c r="A12" t="str">
        <f>Sheet4!A12</f>
        <v>4c O 81/17</v>
      </c>
      <c r="B12" s="6" t="str">
        <f>Sheet4!N12</f>
        <v>11.07.2018</v>
      </c>
      <c r="C12" t="str">
        <f>Sheet4!U12</f>
        <v>24.09.2017</v>
      </c>
      <c r="D12" t="str">
        <f>Sheet4!S12</f>
        <v>06.10.2015</v>
      </c>
      <c r="E12" t="str">
        <f>Sheet4!W12</f>
        <v>27.01.2016</v>
      </c>
      <c r="F12">
        <f>Sheet4!O12</f>
        <v>0</v>
      </c>
      <c r="G12" t="str">
        <f>Sheet4!E12</f>
        <v>No</v>
      </c>
      <c r="I12" s="15">
        <f t="shared" si="8"/>
        <v>43292</v>
      </c>
      <c r="J12" s="15">
        <f t="shared" si="0"/>
        <v>43002</v>
      </c>
      <c r="K12" s="15">
        <f t="shared" si="1"/>
        <v>42283</v>
      </c>
      <c r="L12" s="15">
        <f t="shared" si="2"/>
        <v>42396</v>
      </c>
      <c r="N12">
        <f t="shared" si="3"/>
        <v>290</v>
      </c>
      <c r="O12">
        <f t="shared" si="4"/>
        <v>719</v>
      </c>
      <c r="P12" t="b">
        <f t="shared" si="5"/>
        <v>0</v>
      </c>
      <c r="Q12" t="b">
        <f t="shared" si="6"/>
        <v>0</v>
      </c>
      <c r="R12">
        <f t="shared" si="7"/>
        <v>606</v>
      </c>
    </row>
    <row r="13" spans="1:39" x14ac:dyDescent="0.3">
      <c r="A13" t="str">
        <f>Sheet4!A13</f>
        <v>4c O 12/17</v>
      </c>
      <c r="B13" s="6" t="str">
        <f>Sheet4!N13</f>
        <v>08.01.2019</v>
      </c>
      <c r="C13" t="str">
        <f>Sheet4!U13</f>
        <v>10.02.2017</v>
      </c>
      <c r="D13" t="str">
        <f>Sheet4!S13</f>
        <v>06.09.2011</v>
      </c>
      <c r="E13" t="str">
        <f>Sheet4!W13</f>
        <v>06.09.2011</v>
      </c>
      <c r="F13">
        <f>Sheet4!O13</f>
        <v>0</v>
      </c>
      <c r="G13" t="str">
        <f>Sheet4!E13</f>
        <v>Yes</v>
      </c>
      <c r="I13" s="15">
        <f t="shared" si="8"/>
        <v>43473</v>
      </c>
      <c r="J13" s="15">
        <f t="shared" si="0"/>
        <v>42776</v>
      </c>
      <c r="K13" s="15">
        <f t="shared" si="1"/>
        <v>40792</v>
      </c>
      <c r="L13" s="15">
        <f t="shared" si="2"/>
        <v>40792</v>
      </c>
      <c r="N13">
        <f t="shared" si="3"/>
        <v>697</v>
      </c>
      <c r="O13">
        <f t="shared" si="4"/>
        <v>1984</v>
      </c>
      <c r="P13">
        <v>1</v>
      </c>
      <c r="Q13" t="b">
        <f t="shared" si="6"/>
        <v>0</v>
      </c>
      <c r="R13">
        <f t="shared" si="7"/>
        <v>1984</v>
      </c>
    </row>
    <row r="14" spans="1:39" x14ac:dyDescent="0.3">
      <c r="A14" t="str">
        <f>Sheet4!A14</f>
        <v>4c O 44/18</v>
      </c>
      <c r="B14" s="6" t="str">
        <f>Sheet4!N14</f>
        <v>07.05.2020</v>
      </c>
      <c r="C14">
        <f>Sheet4!U14</f>
        <v>0</v>
      </c>
      <c r="D14" t="str">
        <f>Sheet4!S14</f>
        <v>?</v>
      </c>
      <c r="E14" t="str">
        <f>Sheet4!W14</f>
        <v>11.07.2018</v>
      </c>
      <c r="F14">
        <f>Sheet4!O14</f>
        <v>0</v>
      </c>
      <c r="G14" t="str">
        <f>Sheet4!E14</f>
        <v>Yes</v>
      </c>
      <c r="I14" s="15">
        <f t="shared" si="8"/>
        <v>43958</v>
      </c>
      <c r="J14" s="15" t="e">
        <f t="shared" si="0"/>
        <v>#VALUE!</v>
      </c>
      <c r="K14" s="15" t="e">
        <f t="shared" si="1"/>
        <v>#VALUE!</v>
      </c>
      <c r="L14" s="15">
        <f t="shared" si="2"/>
        <v>43292</v>
      </c>
      <c r="N14" t="e">
        <f t="shared" si="3"/>
        <v>#VALUE!</v>
      </c>
      <c r="O14" t="e">
        <f t="shared" si="4"/>
        <v>#VALUE!</v>
      </c>
      <c r="P14" t="e">
        <f t="shared" si="5"/>
        <v>#VALUE!</v>
      </c>
      <c r="Q14" t="e">
        <f t="shared" si="6"/>
        <v>#VALUE!</v>
      </c>
      <c r="R14" t="e">
        <f t="shared" si="7"/>
        <v>#VALUE!</v>
      </c>
    </row>
    <row r="15" spans="1:39" x14ac:dyDescent="0.3">
      <c r="A15" t="str">
        <f>Sheet4!A15</f>
        <v>4c O 56/18</v>
      </c>
      <c r="B15" s="6" t="str">
        <f>Sheet4!N15</f>
        <v>07.05.2020</v>
      </c>
      <c r="C15" t="str">
        <f>Sheet4!U15</f>
        <v>24.09.2018</v>
      </c>
      <c r="D15" s="18" t="str">
        <f>Sheet4!S15</f>
        <v>?</v>
      </c>
      <c r="E15" s="18" t="str">
        <f>Sheet4!W15</f>
        <v>03.09.2018</v>
      </c>
      <c r="F15">
        <f>Sheet4!O15</f>
        <v>0</v>
      </c>
      <c r="G15" t="str">
        <f>Sheet4!E15</f>
        <v>Yes</v>
      </c>
      <c r="I15" s="15">
        <f t="shared" si="8"/>
        <v>43958</v>
      </c>
      <c r="J15" s="15">
        <f t="shared" si="0"/>
        <v>43367</v>
      </c>
      <c r="K15" s="15" t="e">
        <f t="shared" si="1"/>
        <v>#VALUE!</v>
      </c>
      <c r="L15" s="15">
        <f t="shared" si="2"/>
        <v>43346</v>
      </c>
      <c r="N15">
        <f t="shared" si="3"/>
        <v>591</v>
      </c>
      <c r="O15" t="e">
        <f t="shared" si="4"/>
        <v>#VALUE!</v>
      </c>
      <c r="P15" t="e">
        <f t="shared" si="5"/>
        <v>#VALUE!</v>
      </c>
      <c r="Q15" t="e">
        <f t="shared" si="6"/>
        <v>#VALUE!</v>
      </c>
      <c r="R15">
        <f t="shared" si="7"/>
        <v>21</v>
      </c>
      <c r="S15" t="s">
        <v>534</v>
      </c>
    </row>
    <row r="16" spans="1:39" x14ac:dyDescent="0.3">
      <c r="A16" t="str">
        <f>Sheet4!A16</f>
        <v>4c O 69/18</v>
      </c>
      <c r="B16" s="6" t="str">
        <f>Sheet4!N16</f>
        <v>07.05.2020</v>
      </c>
      <c r="C16" t="str">
        <f>Sheet4!U16</f>
        <v>22.11.2018</v>
      </c>
      <c r="D16" s="18" t="str">
        <f>Sheet4!S16</f>
        <v>?</v>
      </c>
      <c r="E16" s="18" t="str">
        <f>Sheet4!W16</f>
        <v>07.11.2017</v>
      </c>
      <c r="F16">
        <f>Sheet4!O16</f>
        <v>0</v>
      </c>
      <c r="G16" t="str">
        <f>Sheet4!E16</f>
        <v>Yes</v>
      </c>
      <c r="I16" s="15">
        <f t="shared" si="8"/>
        <v>43958</v>
      </c>
      <c r="J16" s="15">
        <f t="shared" si="0"/>
        <v>43426</v>
      </c>
      <c r="K16" s="15" t="e">
        <f t="shared" si="1"/>
        <v>#VALUE!</v>
      </c>
      <c r="L16" s="15">
        <f t="shared" si="2"/>
        <v>43046</v>
      </c>
      <c r="N16">
        <f t="shared" si="3"/>
        <v>532</v>
      </c>
      <c r="O16" t="e">
        <f t="shared" si="4"/>
        <v>#VALUE!</v>
      </c>
      <c r="P16" t="e">
        <f t="shared" si="5"/>
        <v>#VALUE!</v>
      </c>
      <c r="Q16" t="e">
        <f t="shared" si="6"/>
        <v>#VALUE!</v>
      </c>
      <c r="R16">
        <f t="shared" si="7"/>
        <v>380</v>
      </c>
      <c r="S16" t="s">
        <v>533</v>
      </c>
    </row>
    <row r="17" spans="1:19" x14ac:dyDescent="0.3">
      <c r="A17" s="10" t="str">
        <f>Sheet4!A17</f>
        <v>4c O 17/19</v>
      </c>
      <c r="B17" s="6" t="str">
        <f>Sheet4!N17</f>
        <v>26.11.2020</v>
      </c>
      <c r="C17" t="str">
        <f>Sheet4!U17</f>
        <v>21.03.2019</v>
      </c>
      <c r="D17" t="str">
        <f>Sheet4!S17</f>
        <v>01.03.2016</v>
      </c>
      <c r="E17" t="str">
        <f>Sheet4!W17</f>
        <v>09.11.2016</v>
      </c>
      <c r="F17">
        <f>Sheet4!O17</f>
        <v>0</v>
      </c>
      <c r="G17" t="str">
        <f>Sheet4!E17</f>
        <v>n./a.</v>
      </c>
      <c r="I17" s="15">
        <f t="shared" si="8"/>
        <v>44161</v>
      </c>
      <c r="J17" s="15">
        <f t="shared" si="0"/>
        <v>43545</v>
      </c>
      <c r="K17" s="15">
        <f t="shared" si="1"/>
        <v>42430</v>
      </c>
      <c r="L17" s="15">
        <f t="shared" si="2"/>
        <v>42683</v>
      </c>
      <c r="N17">
        <f t="shared" si="3"/>
        <v>616</v>
      </c>
      <c r="O17">
        <f t="shared" si="4"/>
        <v>1115</v>
      </c>
      <c r="P17" t="b">
        <f t="shared" si="5"/>
        <v>0</v>
      </c>
      <c r="Q17" t="b">
        <f t="shared" si="6"/>
        <v>0</v>
      </c>
      <c r="R17">
        <f t="shared" si="7"/>
        <v>862</v>
      </c>
    </row>
    <row r="18" spans="1:19" x14ac:dyDescent="0.3">
      <c r="A18" t="str">
        <f>Sheet4!A18</f>
        <v>7 O 96/14</v>
      </c>
      <c r="B18" s="6" t="str">
        <f>Sheet4!N18</f>
        <v>08.01.2016</v>
      </c>
      <c r="C18" t="str">
        <f>Sheet4!U18</f>
        <v>22.06.2014</v>
      </c>
      <c r="D18">
        <f>Sheet4!S18</f>
        <v>2013</v>
      </c>
      <c r="E18" s="11">
        <f>Sheet4!W18</f>
        <v>2013</v>
      </c>
      <c r="F18">
        <f>Sheet4!O18</f>
        <v>1</v>
      </c>
      <c r="G18" t="str">
        <f>Sheet4!E18</f>
        <v>Yes</v>
      </c>
      <c r="I18" s="15">
        <f t="shared" si="8"/>
        <v>42377</v>
      </c>
      <c r="J18" s="15">
        <f t="shared" si="0"/>
        <v>41812</v>
      </c>
      <c r="K18" s="15">
        <f t="shared" si="1"/>
        <v>41353</v>
      </c>
      <c r="L18" s="15">
        <f t="shared" si="2"/>
        <v>41353</v>
      </c>
      <c r="N18">
        <f t="shared" si="3"/>
        <v>565</v>
      </c>
      <c r="O18">
        <f t="shared" si="4"/>
        <v>459</v>
      </c>
      <c r="P18" t="b">
        <f t="shared" si="5"/>
        <v>0</v>
      </c>
      <c r="Q18" t="b">
        <f t="shared" si="6"/>
        <v>0</v>
      </c>
      <c r="R18">
        <f t="shared" si="7"/>
        <v>459</v>
      </c>
    </row>
    <row r="19" spans="1:19" x14ac:dyDescent="0.3">
      <c r="A19" t="str">
        <f>Sheet4!A19</f>
        <v>7 O 66/15</v>
      </c>
      <c r="B19" s="6" t="str">
        <f>Sheet4!N19</f>
        <v>29.01.2016</v>
      </c>
      <c r="C19" t="str">
        <f>Sheet4!U19</f>
        <v>05.04.2015</v>
      </c>
      <c r="D19" t="str">
        <f>Sheet4!S19</f>
        <v>19.03.2014</v>
      </c>
      <c r="E19" t="str">
        <f>Sheet4!W19</f>
        <v>19.03.2014</v>
      </c>
      <c r="F19">
        <f>Sheet4!O19</f>
        <v>1</v>
      </c>
      <c r="G19" t="str">
        <f>Sheet4!E19</f>
        <v>Yes</v>
      </c>
      <c r="I19" s="15">
        <f t="shared" si="8"/>
        <v>42398</v>
      </c>
      <c r="J19" s="15">
        <f t="shared" si="0"/>
        <v>42099</v>
      </c>
      <c r="K19" s="15">
        <f t="shared" si="1"/>
        <v>41717</v>
      </c>
      <c r="L19" s="15">
        <f t="shared" si="2"/>
        <v>41717</v>
      </c>
      <c r="N19">
        <f t="shared" si="3"/>
        <v>299</v>
      </c>
      <c r="O19">
        <f t="shared" si="4"/>
        <v>382</v>
      </c>
      <c r="P19" t="b">
        <f t="shared" si="5"/>
        <v>0</v>
      </c>
      <c r="Q19" t="b">
        <f t="shared" si="6"/>
        <v>0</v>
      </c>
      <c r="R19">
        <f t="shared" si="7"/>
        <v>382</v>
      </c>
    </row>
    <row r="20" spans="1:19" x14ac:dyDescent="0.3">
      <c r="A20" t="str">
        <f>Sheet4!A20</f>
        <v>7 O 115/16</v>
      </c>
      <c r="B20" s="6" t="str">
        <f>Sheet4!N20</f>
        <v>04.09.2019</v>
      </c>
      <c r="C20" t="str">
        <f>Sheet4!U20</f>
        <v>02.07.2016</v>
      </c>
      <c r="D20" t="str">
        <f>Sheet4!S20</f>
        <v>01.06.2015</v>
      </c>
      <c r="E20" t="str">
        <f>Sheet4!W20</f>
        <v>01.06.2016</v>
      </c>
      <c r="F20">
        <f>Sheet4!O20</f>
        <v>0</v>
      </c>
      <c r="G20" t="str">
        <f>Sheet4!E20</f>
        <v>Yes</v>
      </c>
      <c r="I20" s="15">
        <f t="shared" si="8"/>
        <v>43712</v>
      </c>
      <c r="J20" s="15">
        <f t="shared" si="0"/>
        <v>42553</v>
      </c>
      <c r="K20" s="15">
        <f t="shared" si="1"/>
        <v>42156</v>
      </c>
      <c r="L20" s="15">
        <f t="shared" si="2"/>
        <v>42522</v>
      </c>
      <c r="N20">
        <f t="shared" si="3"/>
        <v>1159</v>
      </c>
      <c r="O20">
        <f t="shared" si="4"/>
        <v>397</v>
      </c>
      <c r="P20" t="b">
        <f t="shared" si="5"/>
        <v>0</v>
      </c>
      <c r="Q20" t="b">
        <f t="shared" si="6"/>
        <v>0</v>
      </c>
      <c r="R20">
        <f t="shared" si="7"/>
        <v>31</v>
      </c>
    </row>
    <row r="21" spans="1:19" x14ac:dyDescent="0.3">
      <c r="A21" t="str">
        <f>Sheet4!A21</f>
        <v>7 O 165/16</v>
      </c>
      <c r="B21" s="6" t="str">
        <f>Sheet4!N21</f>
        <v>13.07.2018</v>
      </c>
      <c r="C21" t="str">
        <f>Sheet4!U21</f>
        <v>23.09.2016</v>
      </c>
      <c r="D21" t="str">
        <f>Sheet4!S21</f>
        <v>15.12.2014</v>
      </c>
      <c r="E21" t="str">
        <f>Sheet4!W21</f>
        <v>03.08.2015</v>
      </c>
      <c r="F21">
        <f>Sheet4!O21</f>
        <v>0</v>
      </c>
      <c r="G21" t="str">
        <f>Sheet4!E21</f>
        <v>No</v>
      </c>
      <c r="I21" s="15">
        <f t="shared" si="8"/>
        <v>43294</v>
      </c>
      <c r="J21" s="15">
        <f t="shared" si="0"/>
        <v>42636</v>
      </c>
      <c r="K21" s="15">
        <f t="shared" si="1"/>
        <v>41988</v>
      </c>
      <c r="L21" s="15">
        <f t="shared" si="2"/>
        <v>42219</v>
      </c>
      <c r="N21">
        <f t="shared" si="3"/>
        <v>658</v>
      </c>
      <c r="O21">
        <f t="shared" si="4"/>
        <v>648</v>
      </c>
      <c r="P21" t="b">
        <f t="shared" si="5"/>
        <v>0</v>
      </c>
      <c r="Q21" t="b">
        <f t="shared" si="6"/>
        <v>0</v>
      </c>
      <c r="R21">
        <f t="shared" si="7"/>
        <v>417</v>
      </c>
    </row>
    <row r="22" spans="1:19" x14ac:dyDescent="0.3">
      <c r="A22" t="str">
        <f>Sheet4!A22</f>
        <v>7 O 19/16</v>
      </c>
      <c r="B22" s="6" t="str">
        <f>Sheet4!N22</f>
        <v>17.11.2016</v>
      </c>
      <c r="C22" t="str">
        <f>Sheet4!U22</f>
        <v>19.01.2016</v>
      </c>
      <c r="D22" t="str">
        <f>Sheet4!S22</f>
        <v>05.07.2014</v>
      </c>
      <c r="E22" t="str">
        <f>Sheet4!W22</f>
        <v>28.07.2015</v>
      </c>
      <c r="F22">
        <f>Sheet4!O22</f>
        <v>0</v>
      </c>
      <c r="G22" t="str">
        <f>Sheet4!E22</f>
        <v>No</v>
      </c>
      <c r="I22" s="15">
        <f t="shared" si="8"/>
        <v>42691</v>
      </c>
      <c r="J22" s="15">
        <f t="shared" si="0"/>
        <v>42388</v>
      </c>
      <c r="K22" s="15">
        <f t="shared" si="1"/>
        <v>41825</v>
      </c>
      <c r="L22" s="15">
        <f t="shared" si="2"/>
        <v>42213</v>
      </c>
      <c r="N22">
        <f t="shared" si="3"/>
        <v>303</v>
      </c>
      <c r="O22">
        <f t="shared" si="4"/>
        <v>563</v>
      </c>
      <c r="P22" t="b">
        <f t="shared" si="5"/>
        <v>0</v>
      </c>
      <c r="Q22" t="b">
        <f t="shared" si="6"/>
        <v>0</v>
      </c>
      <c r="R22">
        <f t="shared" si="7"/>
        <v>175</v>
      </c>
    </row>
    <row r="23" spans="1:19" x14ac:dyDescent="0.3">
      <c r="A23" t="str">
        <f>Sheet4!A23</f>
        <v>7 O 209/15</v>
      </c>
      <c r="B23" s="6" t="str">
        <f>Sheet4!N23</f>
        <v>17.11.2016</v>
      </c>
      <c r="C23" t="str">
        <f>Sheet4!U23</f>
        <v>31.10.2015</v>
      </c>
      <c r="D23" t="str">
        <f>Sheet4!S23</f>
        <v>05.07.2014</v>
      </c>
      <c r="E23" t="str">
        <f>Sheet4!W23</f>
        <v>28.07.2015</v>
      </c>
      <c r="F23">
        <f>Sheet4!O23</f>
        <v>0</v>
      </c>
      <c r="G23" t="str">
        <f>Sheet4!E23</f>
        <v>No</v>
      </c>
      <c r="I23" s="15">
        <f t="shared" si="8"/>
        <v>42691</v>
      </c>
      <c r="J23" s="15">
        <f t="shared" si="0"/>
        <v>42308</v>
      </c>
      <c r="K23" s="15">
        <f t="shared" si="1"/>
        <v>41825</v>
      </c>
      <c r="L23" s="15">
        <f t="shared" si="2"/>
        <v>42213</v>
      </c>
      <c r="N23">
        <f t="shared" si="3"/>
        <v>383</v>
      </c>
      <c r="O23">
        <f t="shared" si="4"/>
        <v>483</v>
      </c>
      <c r="P23" t="b">
        <f t="shared" si="5"/>
        <v>0</v>
      </c>
      <c r="Q23" t="b">
        <f t="shared" si="6"/>
        <v>0</v>
      </c>
      <c r="R23">
        <f t="shared" si="7"/>
        <v>95</v>
      </c>
    </row>
    <row r="24" spans="1:19" x14ac:dyDescent="0.3">
      <c r="A24" t="str">
        <f>Sheet4!A24</f>
        <v>7 O 18/17</v>
      </c>
      <c r="B24" s="6" t="str">
        <f>Sheet4!N24</f>
        <v>02.03.2018</v>
      </c>
      <c r="C24" t="str">
        <f>Sheet4!U24</f>
        <v>29.01.2017</v>
      </c>
      <c r="D24" t="str">
        <f>Sheet4!S24</f>
        <v>13.10.2014</v>
      </c>
      <c r="E24" t="str">
        <f>Sheet4!W24</f>
        <v>28.07.2015</v>
      </c>
      <c r="F24">
        <f>Sheet4!O24</f>
        <v>0</v>
      </c>
      <c r="G24" t="str">
        <f>Sheet4!E24</f>
        <v>No</v>
      </c>
      <c r="I24" s="15">
        <f t="shared" si="8"/>
        <v>43161</v>
      </c>
      <c r="J24" s="15">
        <f t="shared" si="0"/>
        <v>42764</v>
      </c>
      <c r="K24" s="15">
        <f t="shared" si="1"/>
        <v>41925</v>
      </c>
      <c r="L24" s="15">
        <f t="shared" si="2"/>
        <v>42213</v>
      </c>
      <c r="N24">
        <f t="shared" si="3"/>
        <v>397</v>
      </c>
      <c r="O24">
        <f t="shared" si="4"/>
        <v>839</v>
      </c>
      <c r="P24" t="b">
        <f t="shared" si="5"/>
        <v>0</v>
      </c>
      <c r="Q24" t="b">
        <f t="shared" si="6"/>
        <v>0</v>
      </c>
      <c r="R24">
        <f t="shared" si="7"/>
        <v>551</v>
      </c>
    </row>
    <row r="25" spans="1:19" x14ac:dyDescent="0.3">
      <c r="A25" t="str">
        <f>Sheet4!A25</f>
        <v>2 O 136/18</v>
      </c>
      <c r="B25" s="6" t="str">
        <f>Sheet4!N25</f>
        <v>21.08.2020</v>
      </c>
      <c r="C25" t="str">
        <f>Sheet4!U25</f>
        <v>17.10.2018</v>
      </c>
      <c r="D25" t="str">
        <f>Sheet4!S25</f>
        <v>15.12.2014</v>
      </c>
      <c r="E25" t="str">
        <f>Sheet4!W25</f>
        <v>01.02.2016</v>
      </c>
      <c r="F25">
        <f>Sheet4!O25</f>
        <v>0</v>
      </c>
      <c r="G25" t="str">
        <f>Sheet4!E25</f>
        <v>No</v>
      </c>
      <c r="I25" s="15">
        <f t="shared" si="8"/>
        <v>44064</v>
      </c>
      <c r="J25" s="15">
        <f t="shared" si="0"/>
        <v>43390</v>
      </c>
      <c r="K25" s="15">
        <f t="shared" si="1"/>
        <v>41988</v>
      </c>
      <c r="L25" s="15">
        <f t="shared" si="2"/>
        <v>42401</v>
      </c>
      <c r="N25">
        <f t="shared" si="3"/>
        <v>674</v>
      </c>
      <c r="O25">
        <f t="shared" si="4"/>
        <v>1402</v>
      </c>
      <c r="P25" t="b">
        <f t="shared" si="5"/>
        <v>0</v>
      </c>
      <c r="Q25" t="b">
        <f t="shared" si="6"/>
        <v>0</v>
      </c>
      <c r="R25">
        <f t="shared" si="7"/>
        <v>989</v>
      </c>
    </row>
    <row r="26" spans="1:19" x14ac:dyDescent="0.3">
      <c r="A26" t="str">
        <f>Sheet4!A26</f>
        <v>2 O 131/19</v>
      </c>
      <c r="B26" s="6" t="str">
        <f>Sheet4!N26</f>
        <v>02.03.2021</v>
      </c>
      <c r="C26">
        <f>Sheet4!U26</f>
        <v>0</v>
      </c>
      <c r="D26" t="str">
        <f>Sheet4!S26</f>
        <v>29.03.2016</v>
      </c>
      <c r="E26" t="str">
        <f>Sheet4!W26</f>
        <v>?</v>
      </c>
      <c r="F26">
        <f>Sheet4!O26</f>
        <v>0</v>
      </c>
      <c r="G26" t="str">
        <f>Sheet4!E26</f>
        <v>Yes</v>
      </c>
      <c r="I26" s="15">
        <f t="shared" si="8"/>
        <v>44257</v>
      </c>
      <c r="J26" s="15" t="e">
        <f t="shared" si="0"/>
        <v>#VALUE!</v>
      </c>
      <c r="K26" s="15">
        <f t="shared" si="1"/>
        <v>42458</v>
      </c>
      <c r="L26" s="15" t="e">
        <f t="shared" si="2"/>
        <v>#VALUE!</v>
      </c>
      <c r="N26" t="e">
        <f t="shared" si="3"/>
        <v>#VALUE!</v>
      </c>
      <c r="O26" t="e">
        <f t="shared" si="4"/>
        <v>#VALUE!</v>
      </c>
      <c r="P26" t="e">
        <f t="shared" si="5"/>
        <v>#VALUE!</v>
      </c>
      <c r="Q26" t="e">
        <f t="shared" si="6"/>
        <v>#VALUE!</v>
      </c>
      <c r="R26" t="e">
        <f t="shared" si="7"/>
        <v>#VALUE!</v>
      </c>
    </row>
    <row r="27" spans="1:19" x14ac:dyDescent="0.3">
      <c r="A27" t="str">
        <f>Sheet4!A27</f>
        <v>2 O 34/19</v>
      </c>
      <c r="B27" s="6" t="str">
        <f>Sheet4!N27</f>
        <v>18.08.2020</v>
      </c>
      <c r="C27" t="str">
        <f>Sheet4!U27</f>
        <v>21.03.2019</v>
      </c>
      <c r="D27" s="11" t="s">
        <v>117</v>
      </c>
      <c r="E27" t="str">
        <f>Sheet4!W27</f>
        <v>09.11.2016</v>
      </c>
      <c r="F27">
        <f>Sheet4!O27</f>
        <v>0</v>
      </c>
      <c r="G27" t="str">
        <f>Sheet4!E27</f>
        <v>Yes</v>
      </c>
      <c r="I27" s="15">
        <f t="shared" si="8"/>
        <v>44061</v>
      </c>
      <c r="J27" s="15">
        <f t="shared" si="0"/>
        <v>43545</v>
      </c>
      <c r="K27" s="15">
        <f t="shared" si="1"/>
        <v>42460</v>
      </c>
      <c r="L27" s="15">
        <f t="shared" si="2"/>
        <v>42683</v>
      </c>
      <c r="N27">
        <f t="shared" si="3"/>
        <v>516</v>
      </c>
      <c r="O27">
        <f t="shared" si="4"/>
        <v>1085</v>
      </c>
      <c r="P27" t="b">
        <f t="shared" si="5"/>
        <v>0</v>
      </c>
      <c r="Q27" t="b">
        <f t="shared" si="6"/>
        <v>0</v>
      </c>
      <c r="R27">
        <f t="shared" si="7"/>
        <v>862</v>
      </c>
    </row>
    <row r="28" spans="1:19" x14ac:dyDescent="0.3">
      <c r="A28" t="str">
        <f>Sheet4!A28</f>
        <v>7 O 15350/19</v>
      </c>
      <c r="B28" s="17" t="str">
        <f>Sheet4!N28</f>
        <v>19.08.2021</v>
      </c>
      <c r="C28" t="str">
        <f>Sheet4!U28</f>
        <v>10.10.2019</v>
      </c>
      <c r="D28" s="18" t="str">
        <f>Sheet4!S28</f>
        <v>21.08.2019</v>
      </c>
      <c r="E28" s="18" t="str">
        <f>Sheet4!W28</f>
        <v>21.08.2019</v>
      </c>
      <c r="F28">
        <f>Sheet4!O28</f>
        <v>0</v>
      </c>
      <c r="G28" t="str">
        <f>Sheet4!E28</f>
        <v>Yes</v>
      </c>
      <c r="I28" s="15">
        <f t="shared" si="8"/>
        <v>44427</v>
      </c>
      <c r="J28" s="15">
        <f t="shared" si="0"/>
        <v>43748</v>
      </c>
      <c r="K28" s="15">
        <f t="shared" si="1"/>
        <v>43698</v>
      </c>
      <c r="L28" s="15">
        <f t="shared" si="2"/>
        <v>43698</v>
      </c>
      <c r="N28">
        <f t="shared" si="3"/>
        <v>679</v>
      </c>
      <c r="O28">
        <f t="shared" si="4"/>
        <v>50</v>
      </c>
      <c r="P28" t="b">
        <f t="shared" si="5"/>
        <v>0</v>
      </c>
      <c r="Q28" t="b">
        <f t="shared" si="6"/>
        <v>1</v>
      </c>
      <c r="R28">
        <f t="shared" si="7"/>
        <v>50</v>
      </c>
      <c r="S28" t="s">
        <v>535</v>
      </c>
    </row>
    <row r="29" spans="1:19" x14ac:dyDescent="0.3">
      <c r="A29" t="str">
        <f>Sheet4!A29</f>
        <v>2 O 75/21</v>
      </c>
      <c r="B29" s="6" t="str">
        <f>Sheet4!N29</f>
        <v>05.07.2022</v>
      </c>
      <c r="C29" t="str">
        <f>Sheet4!U29</f>
        <v>08.07.2021</v>
      </c>
      <c r="D29" t="str">
        <f>Sheet4!S29</f>
        <v>?</v>
      </c>
      <c r="E29" t="str">
        <f>Sheet4!W29</f>
        <v>?</v>
      </c>
      <c r="F29">
        <f>Sheet4!O29</f>
        <v>0</v>
      </c>
      <c r="G29" t="str">
        <f>Sheet4!E29</f>
        <v>Yes</v>
      </c>
      <c r="I29" s="15">
        <f t="shared" si="8"/>
        <v>44747</v>
      </c>
      <c r="J29" s="15">
        <f t="shared" si="0"/>
        <v>44385</v>
      </c>
      <c r="K29" s="15" t="e">
        <f t="shared" si="1"/>
        <v>#VALUE!</v>
      </c>
      <c r="L29" s="15" t="e">
        <f t="shared" si="2"/>
        <v>#VALUE!</v>
      </c>
      <c r="N29">
        <f t="shared" si="3"/>
        <v>362</v>
      </c>
      <c r="O29" t="e">
        <f t="shared" si="4"/>
        <v>#VALUE!</v>
      </c>
      <c r="P29" t="e">
        <f t="shared" si="5"/>
        <v>#VALUE!</v>
      </c>
      <c r="Q29" t="e">
        <f t="shared" si="6"/>
        <v>#VALUE!</v>
      </c>
      <c r="R29" t="e">
        <f t="shared" si="7"/>
        <v>#VALUE!</v>
      </c>
    </row>
    <row r="30" spans="1:19" x14ac:dyDescent="0.3">
      <c r="A30" t="str">
        <f>Sheet4!A30</f>
        <v>7 O 28/16</v>
      </c>
      <c r="B30" s="6" t="str">
        <f>Sheet4!N30</f>
        <v>10.11.2017</v>
      </c>
      <c r="C30" t="str">
        <f>Sheet4!U30</f>
        <v>03.02.2016</v>
      </c>
      <c r="D30" t="str">
        <f>Sheet4!S30</f>
        <v>01.11.2013</v>
      </c>
      <c r="E30" t="str">
        <f>Sheet4!W30</f>
        <v>01.11.2013</v>
      </c>
      <c r="F30">
        <f>Sheet4!O30</f>
        <v>0</v>
      </c>
      <c r="G30" t="str">
        <f>Sheet4!E30</f>
        <v>No</v>
      </c>
      <c r="I30" s="15">
        <f t="shared" si="8"/>
        <v>43049</v>
      </c>
      <c r="J30" s="15">
        <f t="shared" si="0"/>
        <v>42403</v>
      </c>
      <c r="K30" s="15">
        <f t="shared" si="1"/>
        <v>41579</v>
      </c>
      <c r="L30" s="15">
        <f t="shared" si="2"/>
        <v>41579</v>
      </c>
      <c r="N30">
        <f t="shared" si="3"/>
        <v>646</v>
      </c>
      <c r="O30">
        <f t="shared" si="4"/>
        <v>824</v>
      </c>
      <c r="P30" t="b">
        <f t="shared" si="5"/>
        <v>0</v>
      </c>
      <c r="Q30" t="b">
        <f t="shared" si="6"/>
        <v>0</v>
      </c>
      <c r="R30">
        <f t="shared" si="7"/>
        <v>824</v>
      </c>
    </row>
    <row r="31" spans="1:19" x14ac:dyDescent="0.3">
      <c r="A31" t="str">
        <f>Sheet4!A31</f>
        <v>2 O 106/14</v>
      </c>
      <c r="B31" s="6" t="str">
        <f>Sheet4!N31</f>
        <v>27.11.2015</v>
      </c>
      <c r="C31" t="str">
        <f>Sheet4!U31</f>
        <v>15.06.2014</v>
      </c>
      <c r="D31" t="str">
        <f>Sheet4!S31</f>
        <v>01.07.2014</v>
      </c>
      <c r="E31" t="str">
        <f>Sheet4!W31</f>
        <v>25.03.2015</v>
      </c>
      <c r="F31">
        <f>Sheet4!O31</f>
        <v>1</v>
      </c>
      <c r="G31" t="str">
        <f>Sheet4!E31</f>
        <v>Yes</v>
      </c>
      <c r="I31" s="15">
        <f t="shared" si="8"/>
        <v>42335</v>
      </c>
      <c r="J31" s="15">
        <f t="shared" si="0"/>
        <v>41805</v>
      </c>
      <c r="K31" s="15">
        <f t="shared" si="1"/>
        <v>41821</v>
      </c>
      <c r="L31" s="15">
        <f t="shared" si="2"/>
        <v>42088</v>
      </c>
      <c r="N31">
        <f t="shared" si="3"/>
        <v>530</v>
      </c>
      <c r="O31">
        <f t="shared" si="4"/>
        <v>-16</v>
      </c>
      <c r="P31" t="b">
        <f t="shared" si="5"/>
        <v>0</v>
      </c>
      <c r="Q31" t="b">
        <f t="shared" si="6"/>
        <v>1</v>
      </c>
      <c r="R31">
        <f t="shared" si="7"/>
        <v>-283</v>
      </c>
    </row>
    <row r="32" spans="1:19" x14ac:dyDescent="0.3">
      <c r="A32" t="str">
        <f>Sheet4!A32</f>
        <v>21 O 11522/21</v>
      </c>
      <c r="B32" s="6" t="str">
        <f>Sheet4!N32</f>
        <v>05.08.2022</v>
      </c>
      <c r="C32">
        <f>Sheet4!U32</f>
        <v>0</v>
      </c>
      <c r="D32" t="str">
        <f>Sheet4!S32</f>
        <v>?</v>
      </c>
      <c r="E32" t="str">
        <f>Sheet4!W32</f>
        <v>?</v>
      </c>
      <c r="F32">
        <f>Sheet4!O32</f>
        <v>0</v>
      </c>
      <c r="G32" t="str">
        <f>Sheet4!E32</f>
        <v>Yes</v>
      </c>
      <c r="I32" s="15">
        <f t="shared" si="8"/>
        <v>44778</v>
      </c>
      <c r="J32" s="15" t="e">
        <f t="shared" si="0"/>
        <v>#VALUE!</v>
      </c>
      <c r="K32" s="15" t="e">
        <f t="shared" si="1"/>
        <v>#VALUE!</v>
      </c>
      <c r="L32" s="15" t="e">
        <f t="shared" si="2"/>
        <v>#VALUE!</v>
      </c>
      <c r="N32" t="e">
        <f t="shared" si="3"/>
        <v>#VALUE!</v>
      </c>
      <c r="O32" t="e">
        <f t="shared" si="4"/>
        <v>#VALUE!</v>
      </c>
      <c r="P32" t="e">
        <f t="shared" si="5"/>
        <v>#VALUE!</v>
      </c>
      <c r="Q32" t="e">
        <f t="shared" si="6"/>
        <v>#VALUE!</v>
      </c>
      <c r="R32" t="e">
        <f t="shared" si="7"/>
        <v>#VALUE!</v>
      </c>
    </row>
    <row r="33" spans="1:18" x14ac:dyDescent="0.3">
      <c r="A33" t="str">
        <f>Sheet4!A33</f>
        <v>21 O 1910/22</v>
      </c>
      <c r="B33" s="6" t="str">
        <f>Sheet4!N33</f>
        <v>19.04.2023</v>
      </c>
      <c r="C33">
        <f>Sheet4!U33</f>
        <v>0</v>
      </c>
      <c r="D33" t="str">
        <f>Sheet4!S33</f>
        <v>?</v>
      </c>
      <c r="E33" t="str">
        <f>Sheet4!W33</f>
        <v>?</v>
      </c>
      <c r="F33">
        <f>Sheet4!O33</f>
        <v>0</v>
      </c>
      <c r="G33" t="str">
        <f>Sheet4!E33</f>
        <v>Yes</v>
      </c>
      <c r="I33" s="15">
        <f t="shared" si="8"/>
        <v>45035</v>
      </c>
      <c r="J33" s="15" t="e">
        <f t="shared" si="0"/>
        <v>#VALUE!</v>
      </c>
      <c r="K33" s="15" t="e">
        <f t="shared" si="1"/>
        <v>#VALUE!</v>
      </c>
      <c r="L33" s="15" t="e">
        <f t="shared" si="2"/>
        <v>#VALUE!</v>
      </c>
      <c r="N33" t="e">
        <f t="shared" si="3"/>
        <v>#VALUE!</v>
      </c>
      <c r="O33" t="e">
        <f t="shared" si="4"/>
        <v>#VALUE!</v>
      </c>
      <c r="P33" t="e">
        <f t="shared" si="5"/>
        <v>#VALUE!</v>
      </c>
      <c r="Q33" t="e">
        <f t="shared" si="6"/>
        <v>#VALUE!</v>
      </c>
      <c r="R33" t="e">
        <f t="shared" si="7"/>
        <v>#VALUE!</v>
      </c>
    </row>
    <row r="34" spans="1:18" x14ac:dyDescent="0.3">
      <c r="A34" t="str">
        <f>Sheet4!A34</f>
        <v>21 O 4140/21</v>
      </c>
      <c r="B34" s="6" t="str">
        <f>Sheet4!N34</f>
        <v>17.02.2023</v>
      </c>
      <c r="C34">
        <f>Sheet4!U34</f>
        <v>0</v>
      </c>
      <c r="D34" t="str">
        <f>Sheet4!S34</f>
        <v>01.03.2021</v>
      </c>
      <c r="E34" t="str">
        <f>Sheet4!W34</f>
        <v>01.03.2021</v>
      </c>
      <c r="F34">
        <f>Sheet4!O34</f>
        <v>0</v>
      </c>
      <c r="G34" t="str">
        <f>Sheet4!E34</f>
        <v>Yes</v>
      </c>
      <c r="I34" s="15">
        <f t="shared" si="8"/>
        <v>44974</v>
      </c>
      <c r="J34" s="15" t="e">
        <f t="shared" si="0"/>
        <v>#VALUE!</v>
      </c>
      <c r="K34" s="15">
        <f t="shared" si="1"/>
        <v>44256</v>
      </c>
      <c r="L34" s="15">
        <f t="shared" si="2"/>
        <v>44256</v>
      </c>
      <c r="N34" t="e">
        <f t="shared" si="3"/>
        <v>#VALUE!</v>
      </c>
      <c r="O34" t="e">
        <f t="shared" si="4"/>
        <v>#VALUE!</v>
      </c>
      <c r="P34" t="e">
        <f t="shared" si="5"/>
        <v>#VALUE!</v>
      </c>
      <c r="Q34" t="e">
        <f t="shared" si="6"/>
        <v>#VALUE!</v>
      </c>
      <c r="R34" t="e">
        <f t="shared" si="7"/>
        <v>#VALUE!</v>
      </c>
    </row>
    <row r="35" spans="1:18" x14ac:dyDescent="0.3">
      <c r="A35" t="str">
        <f>Sheet4!A35</f>
        <v>7 O 8818/19</v>
      </c>
      <c r="B35" s="6" t="str">
        <f>Sheet4!N35</f>
        <v>10.09.2020</v>
      </c>
      <c r="C35" t="str">
        <f>Sheet4!U35</f>
        <v>28.06.2019</v>
      </c>
      <c r="D35">
        <f>Sheet4!S35</f>
        <v>2016</v>
      </c>
      <c r="E35" t="str">
        <f>Sheet4!W35</f>
        <v>08.09.2016</v>
      </c>
      <c r="F35">
        <f>Sheet4!O35</f>
        <v>0</v>
      </c>
      <c r="G35" t="str">
        <f>Sheet4!E35</f>
        <v>Yes</v>
      </c>
      <c r="I35" s="15">
        <f t="shared" si="8"/>
        <v>44084</v>
      </c>
      <c r="J35" s="15">
        <f t="shared" si="0"/>
        <v>43644</v>
      </c>
      <c r="K35" s="15">
        <f t="shared" si="1"/>
        <v>42541</v>
      </c>
      <c r="L35" s="15">
        <f t="shared" si="2"/>
        <v>42621</v>
      </c>
      <c r="N35">
        <f t="shared" si="3"/>
        <v>440</v>
      </c>
      <c r="O35">
        <f t="shared" si="4"/>
        <v>1103</v>
      </c>
      <c r="P35" t="b">
        <f t="shared" si="5"/>
        <v>0</v>
      </c>
      <c r="Q35" t="b">
        <f t="shared" si="6"/>
        <v>0</v>
      </c>
      <c r="R35">
        <f t="shared" si="7"/>
        <v>1023</v>
      </c>
    </row>
    <row r="36" spans="1:18" x14ac:dyDescent="0.3">
      <c r="A36" t="str">
        <f>Sheet4!A36</f>
        <v>4a O 27/16</v>
      </c>
      <c r="B36" s="6" t="str">
        <f>Sheet4!N36</f>
        <v>13.07.2017</v>
      </c>
      <c r="C36" t="str">
        <f>Sheet4!U36</f>
        <v>18.03.2016</v>
      </c>
      <c r="D36" t="str">
        <f>Sheet4!S36</f>
        <v>04.12.2012</v>
      </c>
      <c r="E36" t="str">
        <f>Sheet4!W36</f>
        <v>04.12.2012</v>
      </c>
      <c r="F36">
        <f>Sheet4!O36</f>
        <v>0</v>
      </c>
      <c r="G36" t="str">
        <f>Sheet4!E36</f>
        <v>No</v>
      </c>
      <c r="I36" s="15">
        <f t="shared" si="8"/>
        <v>42929</v>
      </c>
      <c r="J36" s="15">
        <f t="shared" si="0"/>
        <v>42447</v>
      </c>
      <c r="K36" s="15">
        <f t="shared" si="1"/>
        <v>41247</v>
      </c>
      <c r="L36" s="15">
        <f t="shared" si="2"/>
        <v>41247</v>
      </c>
      <c r="N36">
        <f t="shared" si="3"/>
        <v>482</v>
      </c>
      <c r="O36">
        <f t="shared" si="4"/>
        <v>1200</v>
      </c>
      <c r="P36" t="b">
        <f t="shared" si="5"/>
        <v>0</v>
      </c>
      <c r="Q36" t="b">
        <f t="shared" si="6"/>
        <v>0</v>
      </c>
      <c r="R36">
        <f t="shared" si="7"/>
        <v>1200</v>
      </c>
    </row>
    <row r="37" spans="1:18" x14ac:dyDescent="0.3">
      <c r="A37" t="str">
        <f>Sheet4!A37</f>
        <v>4a O 154/15</v>
      </c>
      <c r="B37" s="6" t="str">
        <f>Sheet4!N37</f>
        <v>13.07.2017</v>
      </c>
      <c r="C37" t="str">
        <f>Sheet4!U37</f>
        <v>06.11.2015</v>
      </c>
      <c r="D37" t="str">
        <f>Sheet4!S37</f>
        <v>04.12.2012</v>
      </c>
      <c r="E37" t="str">
        <f>Sheet4!W37</f>
        <v>04.12.2012</v>
      </c>
      <c r="F37">
        <f>Sheet4!O37</f>
        <v>1</v>
      </c>
      <c r="G37" t="str">
        <f>Sheet4!E37</f>
        <v>No</v>
      </c>
      <c r="I37" s="15">
        <f t="shared" si="8"/>
        <v>42929</v>
      </c>
      <c r="J37" s="15">
        <f t="shared" si="0"/>
        <v>42314</v>
      </c>
      <c r="K37" s="15">
        <f t="shared" si="1"/>
        <v>41247</v>
      </c>
      <c r="L37" s="15">
        <f t="shared" si="2"/>
        <v>41247</v>
      </c>
      <c r="N37">
        <f t="shared" si="3"/>
        <v>615</v>
      </c>
      <c r="O37">
        <f t="shared" si="4"/>
        <v>1067</v>
      </c>
      <c r="P37" t="b">
        <f t="shared" si="5"/>
        <v>0</v>
      </c>
      <c r="Q37" t="b">
        <f t="shared" si="6"/>
        <v>0</v>
      </c>
      <c r="R37">
        <f t="shared" si="7"/>
        <v>1067</v>
      </c>
    </row>
    <row r="38" spans="1:18" x14ac:dyDescent="0.3">
      <c r="A38" s="12" t="str">
        <f>Sheet4!A38</f>
        <v>14d O 13/17</v>
      </c>
      <c r="B38" s="6" t="str">
        <f>Sheet4!N38</f>
        <v>09.11.2017</v>
      </c>
      <c r="C38" t="str">
        <f>Sheet4!U38</f>
        <v>07.09.2015</v>
      </c>
      <c r="D38" t="str">
        <f>Sheet4!S38</f>
        <v>?</v>
      </c>
      <c r="E38" t="str">
        <f>Sheet4!W38</f>
        <v>?</v>
      </c>
      <c r="F38">
        <f>Sheet4!O38</f>
        <v>0</v>
      </c>
      <c r="G38" t="str">
        <f>Sheet4!E38</f>
        <v>No</v>
      </c>
      <c r="I38" s="15">
        <f t="shared" si="8"/>
        <v>43048</v>
      </c>
      <c r="J38" s="15">
        <f t="shared" si="0"/>
        <v>42254</v>
      </c>
      <c r="K38" s="15" t="e">
        <f t="shared" si="1"/>
        <v>#VALUE!</v>
      </c>
      <c r="L38" s="15" t="e">
        <f t="shared" si="2"/>
        <v>#VALUE!</v>
      </c>
      <c r="N38">
        <f t="shared" si="3"/>
        <v>794</v>
      </c>
      <c r="O38" t="e">
        <f t="shared" si="4"/>
        <v>#VALUE!</v>
      </c>
      <c r="P38" t="e">
        <f t="shared" si="5"/>
        <v>#VALUE!</v>
      </c>
      <c r="Q38" t="e">
        <f t="shared" si="6"/>
        <v>#VALUE!</v>
      </c>
      <c r="R38" t="e">
        <f t="shared" si="7"/>
        <v>#VALUE!</v>
      </c>
    </row>
    <row r="39" spans="1:18" x14ac:dyDescent="0.3">
      <c r="A39" s="12" t="str">
        <f>Sheet4!A39</f>
        <v>7 O 38/14</v>
      </c>
      <c r="B39" s="6" t="str">
        <f>Sheet4!N39</f>
        <v>26.02.2016</v>
      </c>
      <c r="C39" t="str">
        <f>Sheet4!U39</f>
        <v>21.03.2014</v>
      </c>
      <c r="D39" t="str">
        <f>Sheet4!S39</f>
        <v>?</v>
      </c>
      <c r="E39" t="str">
        <f>Sheet4!W39</f>
        <v>?</v>
      </c>
      <c r="F39">
        <f>Sheet4!O39</f>
        <v>1</v>
      </c>
      <c r="G39" t="str">
        <f>Sheet4!E39</f>
        <v>No</v>
      </c>
      <c r="I39" s="15">
        <f t="shared" si="8"/>
        <v>42426</v>
      </c>
      <c r="J39" s="15">
        <f t="shared" si="0"/>
        <v>41719</v>
      </c>
      <c r="K39" s="15" t="e">
        <f t="shared" si="1"/>
        <v>#VALUE!</v>
      </c>
      <c r="L39" s="15" t="e">
        <f t="shared" si="2"/>
        <v>#VALUE!</v>
      </c>
      <c r="N39">
        <f t="shared" si="3"/>
        <v>707</v>
      </c>
      <c r="O39" t="e">
        <f t="shared" si="4"/>
        <v>#VALUE!</v>
      </c>
      <c r="P39" t="e">
        <f t="shared" si="5"/>
        <v>#VALUE!</v>
      </c>
      <c r="Q39" t="e">
        <f t="shared" si="6"/>
        <v>#VALUE!</v>
      </c>
      <c r="R39" t="e">
        <f t="shared" si="7"/>
        <v>#VALUE!</v>
      </c>
    </row>
    <row r="40" spans="1:18" x14ac:dyDescent="0.3">
      <c r="A40" t="str">
        <f>Sheet4!A40</f>
        <v>7 O 24/14</v>
      </c>
      <c r="B40" s="11" t="s">
        <v>509</v>
      </c>
      <c r="C40" t="str">
        <f>Sheet4!U40</f>
        <v>26.02.2014</v>
      </c>
      <c r="D40" t="str">
        <f>Sheet4!S40</f>
        <v>?</v>
      </c>
      <c r="E40" t="str">
        <f>Sheet4!W40</f>
        <v>13.03.2015</v>
      </c>
      <c r="F40">
        <f>Sheet4!O40</f>
        <v>1</v>
      </c>
      <c r="G40" t="str">
        <f>Sheet4!E40</f>
        <v>Yes</v>
      </c>
      <c r="I40" s="15">
        <f t="shared" si="8"/>
        <v>42433</v>
      </c>
      <c r="J40" s="15">
        <f t="shared" si="0"/>
        <v>41696</v>
      </c>
      <c r="K40" s="15" t="e">
        <f t="shared" si="1"/>
        <v>#VALUE!</v>
      </c>
      <c r="L40" s="15">
        <f t="shared" si="2"/>
        <v>42076</v>
      </c>
      <c r="N40">
        <f t="shared" si="3"/>
        <v>737</v>
      </c>
      <c r="O40" t="e">
        <f t="shared" si="4"/>
        <v>#VALUE!</v>
      </c>
      <c r="P40" t="e">
        <f t="shared" si="5"/>
        <v>#VALUE!</v>
      </c>
      <c r="Q40" t="e">
        <f t="shared" si="6"/>
        <v>#VALUE!</v>
      </c>
      <c r="R40">
        <f t="shared" si="7"/>
        <v>-380</v>
      </c>
    </row>
    <row r="41" spans="1:18" x14ac:dyDescent="0.3">
      <c r="A41" t="str">
        <f>Sheet4!A41</f>
        <v>7 O 26/14</v>
      </c>
      <c r="B41" s="11" t="s">
        <v>510</v>
      </c>
      <c r="C41" t="str">
        <f>Sheet4!U41</f>
        <v>01.03.2014</v>
      </c>
      <c r="D41" t="str">
        <f>Sheet4!S41</f>
        <v>?</v>
      </c>
      <c r="E41" t="str">
        <f>Sheet4!W41</f>
        <v>13.05.2015</v>
      </c>
      <c r="F41">
        <f>Sheet4!O41</f>
        <v>1</v>
      </c>
      <c r="G41" t="str">
        <f>Sheet4!E41</f>
        <v>Yes</v>
      </c>
      <c r="I41" s="15">
        <f t="shared" si="8"/>
        <v>42440</v>
      </c>
      <c r="J41" s="15">
        <f t="shared" si="0"/>
        <v>41699</v>
      </c>
      <c r="K41" s="15" t="e">
        <f t="shared" si="1"/>
        <v>#VALUE!</v>
      </c>
      <c r="L41" s="15">
        <f t="shared" si="2"/>
        <v>42137</v>
      </c>
      <c r="N41">
        <f t="shared" si="3"/>
        <v>741</v>
      </c>
      <c r="O41" t="e">
        <f t="shared" si="4"/>
        <v>#VALUE!</v>
      </c>
      <c r="P41" t="e">
        <f t="shared" si="5"/>
        <v>#VALUE!</v>
      </c>
      <c r="Q41" t="e">
        <f t="shared" si="6"/>
        <v>#VALUE!</v>
      </c>
      <c r="R41">
        <f t="shared" si="7"/>
        <v>-438</v>
      </c>
    </row>
    <row r="42" spans="1:18" x14ac:dyDescent="0.3">
      <c r="A42" t="str">
        <f>Sheet4!A42</f>
        <v>7 O 43/16</v>
      </c>
      <c r="B42" t="str">
        <f>Sheet4!N42</f>
        <v>25.11.2016</v>
      </c>
      <c r="C42" t="str">
        <f>Sheet4!U42</f>
        <v>28.02.2016</v>
      </c>
      <c r="D42" t="str">
        <f>Sheet4!S42</f>
        <v>13.10.2014</v>
      </c>
      <c r="E42" t="str">
        <f>Sheet4!W42</f>
        <v>28.07.2015</v>
      </c>
      <c r="F42">
        <f>Sheet4!O42</f>
        <v>0</v>
      </c>
      <c r="G42" t="str">
        <f>Sheet4!E42</f>
        <v>Yes</v>
      </c>
      <c r="I42" s="15">
        <f t="shared" si="8"/>
        <v>42699</v>
      </c>
      <c r="J42" s="15">
        <f t="shared" si="0"/>
        <v>42428</v>
      </c>
      <c r="K42" s="15">
        <f t="shared" si="1"/>
        <v>41925</v>
      </c>
      <c r="L42" s="15">
        <f t="shared" si="2"/>
        <v>42213</v>
      </c>
      <c r="N42">
        <f t="shared" si="3"/>
        <v>271</v>
      </c>
      <c r="O42">
        <f t="shared" si="4"/>
        <v>503</v>
      </c>
      <c r="P42" t="b">
        <f t="shared" si="5"/>
        <v>0</v>
      </c>
      <c r="Q42" t="b">
        <f t="shared" si="6"/>
        <v>0</v>
      </c>
      <c r="R42">
        <f t="shared" si="7"/>
        <v>215</v>
      </c>
    </row>
    <row r="43" spans="1:18" x14ac:dyDescent="0.3">
      <c r="A43" t="str">
        <f>Sheet4!A43</f>
        <v>7 O 44/16</v>
      </c>
      <c r="B43" t="str">
        <f>Sheet4!N43</f>
        <v>25.11.2016</v>
      </c>
      <c r="C43" t="str">
        <f>Sheet4!U43</f>
        <v>01.03.2016</v>
      </c>
      <c r="D43" t="str">
        <f>Sheet4!S43</f>
        <v>13.10.2014</v>
      </c>
      <c r="E43" t="str">
        <f>Sheet4!W43</f>
        <v>28.07.2015</v>
      </c>
      <c r="F43">
        <f>Sheet4!O43</f>
        <v>0</v>
      </c>
      <c r="G43" t="str">
        <f>Sheet4!E43</f>
        <v>Yes</v>
      </c>
      <c r="I43" s="15">
        <f t="shared" si="8"/>
        <v>42699</v>
      </c>
      <c r="J43" s="15">
        <f t="shared" si="0"/>
        <v>42430</v>
      </c>
      <c r="K43" s="15">
        <f t="shared" si="1"/>
        <v>41925</v>
      </c>
      <c r="L43" s="15">
        <f t="shared" si="2"/>
        <v>42213</v>
      </c>
      <c r="N43">
        <f t="shared" si="3"/>
        <v>269</v>
      </c>
      <c r="O43">
        <f t="shared" si="4"/>
        <v>505</v>
      </c>
      <c r="P43" t="b">
        <f t="shared" si="5"/>
        <v>0</v>
      </c>
      <c r="Q43" t="b">
        <f t="shared" si="6"/>
        <v>0</v>
      </c>
      <c r="R43">
        <f t="shared" si="7"/>
        <v>217</v>
      </c>
    </row>
    <row r="44" spans="1:18" x14ac:dyDescent="0.3">
      <c r="A44" t="str">
        <f>Sheet4!A44</f>
        <v>7 O 212/15</v>
      </c>
      <c r="B44" t="str">
        <f>Sheet4!N44</f>
        <v>27.01.2017</v>
      </c>
      <c r="C44" t="str">
        <f>Sheet4!U44</f>
        <v>05.11.2015</v>
      </c>
      <c r="D44" t="str">
        <f>Sheet4!S44</f>
        <v>13.10.2014</v>
      </c>
      <c r="E44" t="str">
        <f>Sheet4!W44</f>
        <v>28.07.2015</v>
      </c>
      <c r="F44">
        <f>Sheet4!O44</f>
        <v>0</v>
      </c>
      <c r="G44" t="str">
        <f>Sheet4!E44</f>
        <v>Yes</v>
      </c>
      <c r="I44" s="15">
        <f t="shared" si="8"/>
        <v>42762</v>
      </c>
      <c r="J44" s="15">
        <f t="shared" si="0"/>
        <v>42313</v>
      </c>
      <c r="K44" s="15">
        <f t="shared" si="1"/>
        <v>41925</v>
      </c>
      <c r="L44" s="15">
        <f t="shared" si="2"/>
        <v>42213</v>
      </c>
      <c r="N44">
        <f t="shared" si="3"/>
        <v>449</v>
      </c>
      <c r="O44">
        <f t="shared" si="4"/>
        <v>388</v>
      </c>
      <c r="P44" t="b">
        <f t="shared" si="5"/>
        <v>0</v>
      </c>
      <c r="Q44" t="b">
        <f t="shared" si="6"/>
        <v>0</v>
      </c>
      <c r="R44">
        <f t="shared" si="7"/>
        <v>100</v>
      </c>
    </row>
    <row r="45" spans="1:18" x14ac:dyDescent="0.3">
      <c r="A45" t="str">
        <f>Sheet4!A45</f>
        <v>7 O 31/16</v>
      </c>
      <c r="B45" t="str">
        <f>Sheet4!N45</f>
        <v>24.02.2017</v>
      </c>
      <c r="C45" t="str">
        <f>Sheet4!U45</f>
        <v>08.02.2016</v>
      </c>
      <c r="D45" s="11" t="s">
        <v>337</v>
      </c>
      <c r="E45" t="str">
        <f>Sheet4!W45</f>
        <v>17.09.2015</v>
      </c>
      <c r="F45">
        <f>Sheet4!O45</f>
        <v>0</v>
      </c>
      <c r="G45" t="str">
        <f>Sheet4!E45</f>
        <v>No</v>
      </c>
      <c r="I45" s="15">
        <f t="shared" si="8"/>
        <v>42790</v>
      </c>
      <c r="J45" s="15">
        <f t="shared" si="0"/>
        <v>42408</v>
      </c>
      <c r="K45" s="15">
        <f t="shared" si="1"/>
        <v>40160</v>
      </c>
      <c r="L45" s="15">
        <f t="shared" si="2"/>
        <v>42264</v>
      </c>
      <c r="N45">
        <f t="shared" si="3"/>
        <v>382</v>
      </c>
      <c r="O45">
        <f t="shared" si="4"/>
        <v>2248</v>
      </c>
      <c r="P45">
        <v>1</v>
      </c>
      <c r="Q45" t="b">
        <f t="shared" si="6"/>
        <v>0</v>
      </c>
      <c r="R45">
        <f t="shared" si="7"/>
        <v>144</v>
      </c>
    </row>
    <row r="46" spans="1:18" x14ac:dyDescent="0.3">
      <c r="A46" t="str">
        <f>Sheet4!A46</f>
        <v>2 O 98/16</v>
      </c>
      <c r="B46" t="str">
        <f>Sheet4!N46</f>
        <v>23.05.2017</v>
      </c>
      <c r="C46">
        <f>Sheet4!U46</f>
        <v>0</v>
      </c>
      <c r="D46" t="str">
        <f>Sheet4!S46</f>
        <v>01.12.2014</v>
      </c>
      <c r="E46" t="str">
        <f>Sheet4!W46</f>
        <v>01.02.2016</v>
      </c>
      <c r="F46">
        <f>Sheet4!O46</f>
        <v>0</v>
      </c>
      <c r="G46" t="str">
        <f>Sheet4!E46</f>
        <v>No</v>
      </c>
      <c r="I46" s="15">
        <f t="shared" si="8"/>
        <v>42878</v>
      </c>
      <c r="J46" s="15" t="e">
        <f t="shared" si="0"/>
        <v>#VALUE!</v>
      </c>
      <c r="K46" s="15">
        <f t="shared" si="1"/>
        <v>41974</v>
      </c>
      <c r="L46" s="15">
        <f t="shared" si="2"/>
        <v>42401</v>
      </c>
      <c r="N46" t="e">
        <f t="shared" si="3"/>
        <v>#VALUE!</v>
      </c>
      <c r="O46" t="e">
        <f t="shared" si="4"/>
        <v>#VALUE!</v>
      </c>
      <c r="P46" t="e">
        <f t="shared" si="5"/>
        <v>#VALUE!</v>
      </c>
      <c r="Q46" t="e">
        <f t="shared" si="6"/>
        <v>#VALUE!</v>
      </c>
      <c r="R46" t="e">
        <f t="shared" si="7"/>
        <v>#VALUE!</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6C5D-8E30-4FC4-859F-2C0B30B5ADAF}">
  <dimension ref="A1:AI46"/>
  <sheetViews>
    <sheetView tabSelected="1" topLeftCell="X1" workbookViewId="0">
      <selection activeCell="AF27" sqref="AF27"/>
    </sheetView>
  </sheetViews>
  <sheetFormatPr defaultRowHeight="14.4" x14ac:dyDescent="0.3"/>
  <cols>
    <col min="1" max="1" width="13.109375" bestFit="1" customWidth="1"/>
    <col min="2" max="2" width="11.33203125" bestFit="1" customWidth="1"/>
    <col min="3" max="3" width="9.6640625" bestFit="1" customWidth="1"/>
    <col min="4" max="4" width="15" bestFit="1" customWidth="1"/>
    <col min="5" max="5" width="15" customWidth="1"/>
    <col min="6" max="6" width="16.33203125" bestFit="1" customWidth="1"/>
    <col min="7" max="7" width="16.33203125" customWidth="1"/>
    <col min="8" max="8" width="25.21875" bestFit="1" customWidth="1"/>
    <col min="9" max="9" width="26" bestFit="1" customWidth="1"/>
    <col min="10" max="10" width="31.6640625" bestFit="1" customWidth="1"/>
    <col min="11" max="11" width="20.33203125" bestFit="1" customWidth="1"/>
    <col min="12" max="12" width="20.33203125" customWidth="1"/>
    <col min="13" max="13" width="18.21875" bestFit="1" customWidth="1"/>
    <col min="14" max="14" width="21.77734375" bestFit="1" customWidth="1"/>
    <col min="16" max="16" width="16.88671875" bestFit="1" customWidth="1"/>
    <col min="17" max="17" width="20.21875" bestFit="1" customWidth="1"/>
    <col min="19" max="19" width="20.44140625" bestFit="1" customWidth="1"/>
    <col min="20" max="20" width="18.21875" bestFit="1" customWidth="1"/>
    <col min="21" max="21" width="26" bestFit="1" customWidth="1"/>
    <col min="22" max="22" width="26" customWidth="1"/>
    <col min="23" max="23" width="17.109375" bestFit="1" customWidth="1"/>
    <col min="27" max="27" width="34.109375" customWidth="1"/>
    <col min="28" max="28" width="30.77734375" bestFit="1" customWidth="1"/>
    <col min="29" max="29" width="27.44140625" bestFit="1" customWidth="1"/>
    <col min="30" max="30" width="8.77734375" customWidth="1"/>
    <col min="31" max="32" width="27.44140625" customWidth="1"/>
    <col min="33" max="33" width="32.88671875" bestFit="1" customWidth="1"/>
    <col min="34" max="34" width="26.6640625" bestFit="1" customWidth="1"/>
    <col min="35" max="35" width="25.109375" bestFit="1" customWidth="1"/>
  </cols>
  <sheetData>
    <row r="1" spans="1:35" x14ac:dyDescent="0.3">
      <c r="A1" t="s">
        <v>0</v>
      </c>
      <c r="B1" t="s">
        <v>1</v>
      </c>
      <c r="C1" t="s">
        <v>497</v>
      </c>
      <c r="D1" t="s">
        <v>281</v>
      </c>
      <c r="E1" t="s">
        <v>526</v>
      </c>
      <c r="F1" t="s">
        <v>278</v>
      </c>
      <c r="G1" t="s">
        <v>527</v>
      </c>
      <c r="H1" t="s">
        <v>350</v>
      </c>
      <c r="I1" t="s">
        <v>426</v>
      </c>
      <c r="J1" t="s">
        <v>351</v>
      </c>
      <c r="K1" t="s">
        <v>427</v>
      </c>
      <c r="L1" t="s">
        <v>528</v>
      </c>
      <c r="M1" t="s">
        <v>428</v>
      </c>
      <c r="N1" t="s">
        <v>529</v>
      </c>
      <c r="P1" t="s">
        <v>530</v>
      </c>
      <c r="Q1" t="s">
        <v>537</v>
      </c>
      <c r="T1" t="s">
        <v>422</v>
      </c>
      <c r="U1" t="s">
        <v>423</v>
      </c>
      <c r="V1" t="s">
        <v>585</v>
      </c>
      <c r="W1" t="s">
        <v>425</v>
      </c>
      <c r="AA1" t="s">
        <v>539</v>
      </c>
      <c r="AB1" t="s">
        <v>540</v>
      </c>
      <c r="AC1" t="s">
        <v>538</v>
      </c>
      <c r="AE1" t="s">
        <v>541</v>
      </c>
      <c r="AF1" t="s">
        <v>545</v>
      </c>
      <c r="AG1" t="s">
        <v>557</v>
      </c>
      <c r="AH1" t="s">
        <v>542</v>
      </c>
      <c r="AI1" t="s">
        <v>593</v>
      </c>
    </row>
    <row r="2" spans="1:35" x14ac:dyDescent="0.3">
      <c r="A2" t="str">
        <f>Sheet4!A2</f>
        <v>4a O 144/14</v>
      </c>
      <c r="B2" t="str">
        <f>Sheet4!B2</f>
        <v>Duesseldorf</v>
      </c>
      <c r="C2" t="str">
        <f>Sheet4!E2</f>
        <v>Yes</v>
      </c>
      <c r="D2" s="6" t="str">
        <f>Sheet4!N2</f>
        <v>03.11.2015</v>
      </c>
      <c r="E2" s="14">
        <f>DATE(VALUE(RIGHT(D2,4)), VALUE(MID(D2,4,2)), VALUE(LEFT(D2,2)))</f>
        <v>42311</v>
      </c>
      <c r="F2" t="str">
        <f>Sheet4!U2</f>
        <v>18.12.2014</v>
      </c>
      <c r="G2" s="15">
        <f>DATE(VALUE(RIGHT(F2,4)), VALUE(MID(F2,4,2)), VALUE(LEFT(F2,2)))</f>
        <v>41991</v>
      </c>
      <c r="H2" t="str">
        <f>Sheet4!AO2</f>
        <v>Yes</v>
      </c>
      <c r="I2" t="str">
        <f>Sheet4!AQ2</f>
        <v>6 Ni 15/15 (EP)</v>
      </c>
      <c r="J2" t="str">
        <f>Sheet4!AP2</f>
        <v>Invalid for Germany</v>
      </c>
      <c r="K2" t="str">
        <f>Sheet4!AR2</f>
        <v>14.02.2018</v>
      </c>
      <c r="L2" s="15">
        <f>DATE(VALUE(RIGHT(K2,4)), VALUE(MID(K2,4,2)), VALUE(LEFT(K2,2)))</f>
        <v>43145</v>
      </c>
      <c r="M2" t="str">
        <f>Sheet4!AS2</f>
        <v>31.07.2015</v>
      </c>
      <c r="N2" s="15">
        <f>DATE(VALUE(RIGHT(M2,4)), VALUE(MID(M2,4,2)), VALUE(LEFT(M2,2)))</f>
        <v>42216</v>
      </c>
      <c r="P2">
        <f>L2-N2</f>
        <v>929</v>
      </c>
      <c r="Q2">
        <f>L2-E2</f>
        <v>834</v>
      </c>
      <c r="S2" t="s">
        <v>516</v>
      </c>
      <c r="T2">
        <f>COUNTIFS($J$2:$J$46, "Invalid for Germany", $P$2:$P$46, "&lt;365")</f>
        <v>1</v>
      </c>
      <c r="U2">
        <f>COUNTIFS($J$2:$J$46, "Partially invalid for Germany", $P$2:$P$46, "&lt;365")</f>
        <v>0</v>
      </c>
      <c r="V2">
        <f>COUNTIFS($J$2:$J$46, "Fully revoked", $P$2:$P$46, "&lt;365")</f>
        <v>0</v>
      </c>
      <c r="W2">
        <f>COUNTIFS($J$2:$J$46, "Charges dismissed", $P$2:$P$46, "&lt;365")</f>
        <v>1</v>
      </c>
      <c r="AA2" cm="1">
        <f t="array" ref="AA2">MEDIAN(IF(ISERROR('Lag graphs'!N2:N46), "", 'Lag graphs'!N2:N46))</f>
        <v>530</v>
      </c>
      <c r="AB2" cm="1">
        <f t="array" ref="AB2">MEDIAN(IF(ISERROR(P2:P46), "", P2:P46))</f>
        <v>938</v>
      </c>
      <c r="AC2">
        <f t="array" ref="AC2">MEDIAN(IF(ISERROR(Q2:Q46), "", Q2:Q46))</f>
        <v>518.5</v>
      </c>
      <c r="AE2">
        <f>COUNTIF(C2:C46, "Yes")</f>
        <v>27</v>
      </c>
      <c r="AF2">
        <f>COUNTIFS(C2:C46,"Yes",H2:H46,"Yes")</f>
        <v>25</v>
      </c>
      <c r="AG2">
        <f>COUNTIFS(C2:C46, "Yes", J2:J46, "Invalid for Germany") + COUNTIFS(C2:C46, "Yes", J2:J46, "Partially invalid for Germany") + COUNTIFS(C2:C46, "Yes", J2:J46, "Fully revoked")</f>
        <v>12</v>
      </c>
      <c r="AH2">
        <f>AF2/AE2</f>
        <v>0.92592592592592593</v>
      </c>
      <c r="AI2">
        <f>(COUNTIFS(C2:C46, "Yes", J2:J46, "Invalid for Germany") + COUNTIFS(C2:C46, "Yes", J2:J46, "Partially invalid for Germany") + COUNTIFS(C2:C46, "Yes", J2:J46, "Fully revoked"))/(COUNTIF(C2:C46, "Yes"))</f>
        <v>0.44444444444444442</v>
      </c>
    </row>
    <row r="3" spans="1:35" x14ac:dyDescent="0.3">
      <c r="A3" t="str">
        <f>Sheet4!A3</f>
        <v>4a O 126/14</v>
      </c>
      <c r="B3" t="str">
        <f>Sheet4!B3</f>
        <v>Duesseldorf</v>
      </c>
      <c r="C3" t="str">
        <f>Sheet4!E3</f>
        <v>Yes</v>
      </c>
      <c r="D3" s="6" t="str">
        <f>Sheet4!N3</f>
        <v>31.03.2016</v>
      </c>
      <c r="E3" s="14">
        <f t="shared" ref="E3:E46" si="0">DATE(VALUE(RIGHT(D3,4)), VALUE(MID(D3,4,2)), VALUE(LEFT(D3,2)))</f>
        <v>42460</v>
      </c>
      <c r="F3" t="str">
        <f>Sheet4!U3</f>
        <v>12.11.2014</v>
      </c>
      <c r="G3" s="15">
        <f t="shared" ref="G3:G46" si="1">DATE(VALUE(RIGHT(F3,4)), VALUE(MID(F3,4,2)), VALUE(LEFT(F3,2)))</f>
        <v>41955</v>
      </c>
      <c r="H3" t="str">
        <f>Sheet4!AO3</f>
        <v>Yes</v>
      </c>
      <c r="I3" t="str">
        <f>Sheet4!AQ3</f>
        <v>4 Ni 6/15 (EP), 6 Ni 7/16 (EP), 6 Ni 63/16 (EP), 4 Ni 33/14 (EP)</v>
      </c>
      <c r="J3" t="str">
        <f>Sheet4!AP3</f>
        <v>-</v>
      </c>
      <c r="K3" t="str">
        <f>Sheet4!AR3</f>
        <v>-</v>
      </c>
      <c r="L3" s="15" t="e">
        <f t="shared" ref="L3:L46" si="2">DATE(VALUE(RIGHT(K3,4)), VALUE(MID(K3,4,2)), VALUE(LEFT(K3,2)))</f>
        <v>#VALUE!</v>
      </c>
      <c r="M3" t="str">
        <f>Sheet4!AS3</f>
        <v>06.11.2014</v>
      </c>
      <c r="N3" s="15">
        <f t="shared" ref="N3:N46" si="3">DATE(VALUE(RIGHT(M3,4)), VALUE(MID(M3,4,2)), VALUE(LEFT(M3,2)))</f>
        <v>41949</v>
      </c>
      <c r="P3" t="e">
        <f t="shared" ref="P3:P46" si="4">L3-N3</f>
        <v>#VALUE!</v>
      </c>
      <c r="Q3" t="e">
        <f t="shared" ref="Q3:Q46" si="5">L3-E3</f>
        <v>#VALUE!</v>
      </c>
      <c r="S3" t="s">
        <v>517</v>
      </c>
      <c r="T3">
        <f>COUNTIFS($J$2:$J$46, "Invalid for Germany", $P$2:$P$46, "&gt;=365", $P$2:$P$46, "&lt;730")</f>
        <v>1</v>
      </c>
      <c r="U3">
        <f>COUNTIFS($J$2:$J$46, "Partially invalid for Germany", $P$2:$P$46, "&gt;=365", $P$2:$P$46, "&lt;730")</f>
        <v>1</v>
      </c>
      <c r="V3">
        <f>COUNTIFS($J$2:$J$46, "Fully revoked", $P$2:$P$46, "&gt;=365", $P$2:$P$46, "&lt;730")</f>
        <v>0</v>
      </c>
      <c r="W3">
        <f>COUNTIFS($J$2:$J$46, "Charges dismissed", $P$2:$P$46, "&gt;=365", $P$2:$P$46, "&lt;730")</f>
        <v>1</v>
      </c>
      <c r="AA3">
        <f>AA2/365</f>
        <v>1.452054794520548</v>
      </c>
      <c r="AB3">
        <f>AB2/365</f>
        <v>2.56986301369863</v>
      </c>
      <c r="AC3">
        <f>AC2/365</f>
        <v>1.4205479452054794</v>
      </c>
      <c r="AF3" t="s">
        <v>544</v>
      </c>
      <c r="AG3" t="s">
        <v>558</v>
      </c>
      <c r="AH3" t="s">
        <v>543</v>
      </c>
    </row>
    <row r="4" spans="1:35" x14ac:dyDescent="0.3">
      <c r="A4" t="str">
        <f>Sheet4!A4</f>
        <v>4a O 73/14</v>
      </c>
      <c r="B4" t="str">
        <f>Sheet4!B4</f>
        <v>Duesseldorf</v>
      </c>
      <c r="C4" t="str">
        <f>Sheet4!E4</f>
        <v>Yes</v>
      </c>
      <c r="D4" s="6" t="str">
        <f>Sheet4!N4</f>
        <v>31.03.2016</v>
      </c>
      <c r="E4" s="14">
        <f t="shared" si="0"/>
        <v>42460</v>
      </c>
      <c r="F4" t="str">
        <f>Sheet4!U4</f>
        <v>23.07.2014</v>
      </c>
      <c r="G4" s="15">
        <f t="shared" si="1"/>
        <v>41843</v>
      </c>
      <c r="H4" t="str">
        <f>Sheet4!AO4</f>
        <v>Yes</v>
      </c>
      <c r="I4" t="str">
        <f>Sheet4!AQ4</f>
        <v>6 Ni 6/16 (EP)</v>
      </c>
      <c r="J4" t="str">
        <f>Sheet4!AP4</f>
        <v>Invalid for Germany</v>
      </c>
      <c r="K4" t="str">
        <f>Sheet4!AR4</f>
        <v>11.01.2017</v>
      </c>
      <c r="L4" s="15">
        <f t="shared" si="2"/>
        <v>42746</v>
      </c>
      <c r="M4" t="str">
        <f>Sheet4!AS4</f>
        <v>04.07.2016</v>
      </c>
      <c r="N4" s="15">
        <f t="shared" si="3"/>
        <v>42555</v>
      </c>
      <c r="P4">
        <f t="shared" si="4"/>
        <v>191</v>
      </c>
      <c r="Q4">
        <f t="shared" si="5"/>
        <v>286</v>
      </c>
      <c r="S4" t="s">
        <v>518</v>
      </c>
      <c r="T4">
        <f>COUNTIFS($J$2:$J$46, "Invalid for Germany", $P$2:$P$46, "&gt;=730", $P$2:$P$46, "&lt;1095")</f>
        <v>7</v>
      </c>
      <c r="U4">
        <f>COUNTIFS($J$2:$J$46, "Partially invalid for Germany", $P$2:$P$46, "&gt;=730", $P$2:$P$46, "&lt;1095")</f>
        <v>5</v>
      </c>
      <c r="V4">
        <f>COUNTIFS($J$2:$J$46, "Fully revoked", $P$2:$P$46, "&gt;=730", $P$2:$P$46, "&lt;1095")</f>
        <v>1</v>
      </c>
      <c r="W4">
        <f>COUNTIFS($J$2:$J$46, "Charges dismissed", $P$2:$P$46, "&gt;=730", $P$2:$P$46, "&lt;1095")</f>
        <v>0</v>
      </c>
      <c r="AF4">
        <f>COUNTIFS(C2:C46,"Yes",H2:H46,"No") + COUNTIFS(C2:C46,"Yes",H2:H46,"?")</f>
        <v>2</v>
      </c>
      <c r="AG4">
        <f>COUNTIFS(C2:C46, "Yes", J2:J46, "Charges dismissed") + COUNTIFS(C2:C46, "Yes", H2:H46, "Yes", J2:J46, "-")</f>
        <v>13</v>
      </c>
      <c r="AH4">
        <f>AF4/AE2</f>
        <v>7.407407407407407E-2</v>
      </c>
    </row>
    <row r="5" spans="1:35" x14ac:dyDescent="0.3">
      <c r="A5" t="str">
        <f>Sheet4!A5</f>
        <v>4a O 16/16</v>
      </c>
      <c r="B5" t="str">
        <f>Sheet4!B5</f>
        <v>Duesseldorf</v>
      </c>
      <c r="C5" t="str">
        <f>Sheet4!E5</f>
        <v>No</v>
      </c>
      <c r="D5" s="6" t="str">
        <f>Sheet4!N5</f>
        <v>13.07.2017</v>
      </c>
      <c r="E5" s="14">
        <f t="shared" si="0"/>
        <v>42929</v>
      </c>
      <c r="F5" t="str">
        <f>Sheet4!U5</f>
        <v>18.02.2016</v>
      </c>
      <c r="G5" s="15">
        <f t="shared" si="1"/>
        <v>42418</v>
      </c>
      <c r="H5" t="str">
        <f>Sheet4!AO5</f>
        <v>Yes</v>
      </c>
      <c r="I5" t="str">
        <f>Sheet4!AQ5</f>
        <v>6 Ni 15/15 (EP)</v>
      </c>
      <c r="J5" t="str">
        <f>Sheet4!AP5</f>
        <v>Invalid for Germany</v>
      </c>
      <c r="K5" t="str">
        <f>Sheet4!AR5</f>
        <v>14.02.2018</v>
      </c>
      <c r="L5" s="15">
        <f t="shared" si="2"/>
        <v>43145</v>
      </c>
      <c r="M5" t="str">
        <f>Sheet4!AS5</f>
        <v>31.07.2015</v>
      </c>
      <c r="N5" s="15">
        <f t="shared" si="3"/>
        <v>42216</v>
      </c>
      <c r="P5">
        <f t="shared" si="4"/>
        <v>929</v>
      </c>
      <c r="Q5">
        <f t="shared" si="5"/>
        <v>216</v>
      </c>
      <c r="S5" t="s">
        <v>519</v>
      </c>
      <c r="T5">
        <f>COUNTIFS($J$2:$J$46, "Invalid for Germany", $P$2:$P$46, "&gt;=1095", $P$2:$P$46, "&lt;1825")</f>
        <v>3</v>
      </c>
      <c r="U5">
        <f>COUNTIFS($J$2:$J$46, "Partially invalid for Germany", $P$2:$P$46, "&gt;=1095", $P$2:$P$46, "&lt;1825")</f>
        <v>6</v>
      </c>
      <c r="V5">
        <f>COUNTIFS($J$2:$J$46, "Fully revoked", $P$2:$P$46, "&gt;=1095", $P$2:$P$46, "&lt;1825")</f>
        <v>0</v>
      </c>
      <c r="W5">
        <f>COUNTIFS($J$2:$J$46, "Charges dismissed", $P$2:$P$46, "&gt;=1095", $P$2:$P$46, "&lt;1825")</f>
        <v>0</v>
      </c>
      <c r="X5" t="s">
        <v>523</v>
      </c>
    </row>
    <row r="6" spans="1:35" x14ac:dyDescent="0.3">
      <c r="A6" t="str">
        <f>Sheet4!A6</f>
        <v>4a O 35/16</v>
      </c>
      <c r="B6" t="str">
        <f>Sheet4!B6</f>
        <v>Duesseldorf</v>
      </c>
      <c r="C6" t="str">
        <f>Sheet4!E6</f>
        <v>No</v>
      </c>
      <c r="D6" s="6" t="str">
        <f>Sheet4!N6</f>
        <v>13.07.2017</v>
      </c>
      <c r="E6" s="14">
        <f t="shared" si="0"/>
        <v>42929</v>
      </c>
      <c r="F6" t="str">
        <f>Sheet4!U6</f>
        <v>09.04.2016</v>
      </c>
      <c r="G6" s="15">
        <f t="shared" si="1"/>
        <v>42469</v>
      </c>
      <c r="H6" t="str">
        <f>Sheet4!AO6</f>
        <v>Yes</v>
      </c>
      <c r="I6" t="str">
        <f>Sheet4!AQ6</f>
        <v>6 Ni 15/15 (EP)</v>
      </c>
      <c r="J6" t="str">
        <f>Sheet4!AP6</f>
        <v>Invalid for Germany</v>
      </c>
      <c r="K6" t="str">
        <f>Sheet4!AR6</f>
        <v>14.02.2018</v>
      </c>
      <c r="L6" s="15">
        <f t="shared" si="2"/>
        <v>43145</v>
      </c>
      <c r="M6" t="str">
        <f>Sheet4!AS6</f>
        <v>31.07.2015</v>
      </c>
      <c r="N6" s="15">
        <f t="shared" si="3"/>
        <v>42216</v>
      </c>
      <c r="P6">
        <f t="shared" si="4"/>
        <v>929</v>
      </c>
      <c r="Q6">
        <f t="shared" si="5"/>
        <v>216</v>
      </c>
      <c r="S6" t="s">
        <v>520</v>
      </c>
      <c r="T6">
        <f>COUNTIFS($J$2:$J$46, "Invalid for Germany", $P$2:$P$46, "&gt;=1825")</f>
        <v>0</v>
      </c>
      <c r="U6">
        <f>COUNTIFS($J$2:$J$46, "Partially invalid for Germany", $P$2:$P$46, "&gt;=1825")</f>
        <v>0</v>
      </c>
      <c r="V6">
        <f>COUNTIFS($J$2:$J$46, "Fully revoked", $P$2:$P$46, "&gt;=1825")</f>
        <v>0</v>
      </c>
      <c r="W6">
        <f>COUNTIFS($J$2:$J$46, "Charges dismissed", $P$2:$P$46, "&gt;=1825")</f>
        <v>0</v>
      </c>
      <c r="X6" t="s">
        <v>531</v>
      </c>
    </row>
    <row r="7" spans="1:35" x14ac:dyDescent="0.3">
      <c r="A7" t="str">
        <f>Sheet4!A7</f>
        <v>4c O 72/17</v>
      </c>
      <c r="B7" t="str">
        <f>Sheet4!B7</f>
        <v>Duesseldorf</v>
      </c>
      <c r="C7" t="str">
        <f>Sheet4!E7</f>
        <v>No</v>
      </c>
      <c r="D7" s="6" t="str">
        <f>Sheet4!N7</f>
        <v>11.07.2018</v>
      </c>
      <c r="E7" s="14">
        <f t="shared" si="0"/>
        <v>43292</v>
      </c>
      <c r="F7" t="str">
        <f>Sheet4!U7</f>
        <v>25.08.2017</v>
      </c>
      <c r="G7" s="15">
        <f t="shared" si="1"/>
        <v>42972</v>
      </c>
      <c r="H7" t="str">
        <f>Sheet4!AO7</f>
        <v>Yes</v>
      </c>
      <c r="I7" t="str">
        <f>Sheet4!AQ7</f>
        <v>5 Ni 50/16 (EP)</v>
      </c>
      <c r="J7" t="str">
        <f>Sheet4!AP7</f>
        <v>Partially invalid for Germany</v>
      </c>
      <c r="K7" t="str">
        <f>Sheet4!AR7</f>
        <v>12.02.2020</v>
      </c>
      <c r="L7" s="15">
        <f t="shared" si="2"/>
        <v>43873</v>
      </c>
      <c r="M7" t="str">
        <f>Sheet4!AS7</f>
        <v>26.07.2016</v>
      </c>
      <c r="N7" s="15">
        <f t="shared" si="3"/>
        <v>42577</v>
      </c>
      <c r="P7">
        <f t="shared" si="4"/>
        <v>1296</v>
      </c>
      <c r="Q7">
        <f t="shared" si="5"/>
        <v>581</v>
      </c>
      <c r="T7">
        <f>SUM(T2:T6)</f>
        <v>12</v>
      </c>
      <c r="U7">
        <f t="shared" ref="U7:W7" si="6">SUM(U2:U6)</f>
        <v>12</v>
      </c>
      <c r="V7">
        <f t="shared" si="6"/>
        <v>1</v>
      </c>
      <c r="W7">
        <f t="shared" si="6"/>
        <v>2</v>
      </c>
      <c r="X7">
        <f>SUM(T7:W7)</f>
        <v>27</v>
      </c>
    </row>
    <row r="8" spans="1:35" x14ac:dyDescent="0.3">
      <c r="A8" t="str">
        <f>Sheet4!A8</f>
        <v>4c O 77/17</v>
      </c>
      <c r="B8" t="str">
        <f>Sheet4!B8</f>
        <v>Duesseldorf</v>
      </c>
      <c r="C8" t="str">
        <f>Sheet4!E8</f>
        <v>No</v>
      </c>
      <c r="D8" s="6" t="str">
        <f>Sheet4!N8</f>
        <v>11.07.2018</v>
      </c>
      <c r="E8" s="14">
        <f t="shared" si="0"/>
        <v>43292</v>
      </c>
      <c r="F8" t="str">
        <f>Sheet4!U8</f>
        <v>11.09.2017</v>
      </c>
      <c r="G8" s="15">
        <f t="shared" si="1"/>
        <v>42989</v>
      </c>
      <c r="H8" t="str">
        <f>Sheet4!AO8</f>
        <v>Yes</v>
      </c>
      <c r="I8" t="str">
        <f>Sheet4!AQ8</f>
        <v>5 Ni 50/16 (EP)</v>
      </c>
      <c r="J8" t="str">
        <f>Sheet4!AP8</f>
        <v>Partially invalid for Germany</v>
      </c>
      <c r="K8" t="str">
        <f>Sheet4!AR8</f>
        <v>12.02.2020</v>
      </c>
      <c r="L8" s="15">
        <f t="shared" si="2"/>
        <v>43873</v>
      </c>
      <c r="M8" t="str">
        <f>Sheet4!AS8</f>
        <v>26.07.2016</v>
      </c>
      <c r="N8" s="15">
        <f t="shared" si="3"/>
        <v>42577</v>
      </c>
      <c r="P8">
        <f t="shared" si="4"/>
        <v>1296</v>
      </c>
      <c r="Q8">
        <f t="shared" si="5"/>
        <v>581</v>
      </c>
    </row>
    <row r="9" spans="1:35" x14ac:dyDescent="0.3">
      <c r="A9" t="str">
        <f>Sheet4!A9</f>
        <v>4a O 15/17</v>
      </c>
      <c r="B9" t="str">
        <f>Sheet4!B9</f>
        <v>Duesseldorf</v>
      </c>
      <c r="C9" t="str">
        <f>Sheet4!E9</f>
        <v>Yes</v>
      </c>
      <c r="D9" s="6" t="str">
        <f>Sheet4!N9</f>
        <v>09.11.2018</v>
      </c>
      <c r="E9" s="14">
        <f t="shared" si="0"/>
        <v>43413</v>
      </c>
      <c r="F9" t="str">
        <f>Sheet4!U9</f>
        <v>05.02.2017</v>
      </c>
      <c r="G9" s="15">
        <f t="shared" si="1"/>
        <v>42771</v>
      </c>
      <c r="H9" t="str">
        <f>Sheet4!AO9</f>
        <v>No</v>
      </c>
      <c r="I9" t="str">
        <f>Sheet4!AQ9</f>
        <v>-</v>
      </c>
      <c r="J9" t="str">
        <f>Sheet4!AP9</f>
        <v>-</v>
      </c>
      <c r="K9" t="str">
        <f>Sheet4!AR9</f>
        <v>-</v>
      </c>
      <c r="L9" s="15" t="e">
        <f t="shared" si="2"/>
        <v>#VALUE!</v>
      </c>
      <c r="M9" t="str">
        <f>Sheet4!AS9</f>
        <v>-</v>
      </c>
      <c r="N9" s="15" t="e">
        <f t="shared" si="3"/>
        <v>#VALUE!</v>
      </c>
      <c r="P9" t="e">
        <f t="shared" si="4"/>
        <v>#VALUE!</v>
      </c>
      <c r="Q9" t="e">
        <f t="shared" si="5"/>
        <v>#VALUE!</v>
      </c>
    </row>
    <row r="10" spans="1:35" x14ac:dyDescent="0.3">
      <c r="A10" t="str">
        <f>Sheet4!A10</f>
        <v>4c O 3/17</v>
      </c>
      <c r="B10" t="str">
        <f>Sheet4!B10</f>
        <v>Duesseldorf</v>
      </c>
      <c r="C10" t="str">
        <f>Sheet4!E10</f>
        <v>Yes</v>
      </c>
      <c r="D10" s="6" t="str">
        <f>Sheet4!N10</f>
        <v>21.12.2018</v>
      </c>
      <c r="E10" s="14">
        <f t="shared" si="0"/>
        <v>43455</v>
      </c>
      <c r="F10" t="str">
        <f>Sheet4!U10</f>
        <v>11.01.2017</v>
      </c>
      <c r="G10" s="15">
        <f t="shared" si="1"/>
        <v>42746</v>
      </c>
      <c r="H10" t="str">
        <f>Sheet4!AO10</f>
        <v>Yes</v>
      </c>
      <c r="I10" t="str">
        <f>Sheet4!AQ10</f>
        <v>2 Ni 36/17 (EP), 2 Ni 19/21 (EP)</v>
      </c>
      <c r="J10" t="str">
        <f>Sheet4!AP10</f>
        <v>-</v>
      </c>
      <c r="K10" t="str">
        <f>Sheet4!AR10</f>
        <v>-</v>
      </c>
      <c r="L10" s="15" t="e">
        <f t="shared" si="2"/>
        <v>#VALUE!</v>
      </c>
      <c r="M10" t="str">
        <f>Sheet4!AS10</f>
        <v>03.07.2017, 22.04.2021</v>
      </c>
      <c r="N10" s="15">
        <f t="shared" si="3"/>
        <v>44380</v>
      </c>
      <c r="P10" t="e">
        <f t="shared" si="4"/>
        <v>#VALUE!</v>
      </c>
      <c r="Q10" t="e">
        <f t="shared" si="5"/>
        <v>#VALUE!</v>
      </c>
    </row>
    <row r="11" spans="1:35" x14ac:dyDescent="0.3">
      <c r="A11" t="str">
        <f>Sheet4!A11</f>
        <v>4a O 17/17</v>
      </c>
      <c r="B11" t="str">
        <f>Sheet4!B11</f>
        <v>Duesseldorf</v>
      </c>
      <c r="C11" t="str">
        <f>Sheet4!E11</f>
        <v>Yes</v>
      </c>
      <c r="D11" s="6" t="str">
        <f>Sheet4!N11</f>
        <v>09.11.2018</v>
      </c>
      <c r="E11" s="14">
        <f t="shared" si="0"/>
        <v>43413</v>
      </c>
      <c r="F11" t="str">
        <f>Sheet4!U11</f>
        <v>10.02.2017</v>
      </c>
      <c r="G11" s="15">
        <f t="shared" si="1"/>
        <v>42776</v>
      </c>
      <c r="H11" t="str">
        <f>Sheet4!AO11</f>
        <v>Yes</v>
      </c>
      <c r="I11" t="str">
        <f>Sheet4!AQ11</f>
        <v>2 Ni 66/17 (EP), 7 Ni 21/19 (EP)</v>
      </c>
      <c r="J11" t="str">
        <f>Sheet4!AP11</f>
        <v>-</v>
      </c>
      <c r="K11" t="str">
        <f>Sheet4!AR11</f>
        <v>-</v>
      </c>
      <c r="L11" s="15" t="e">
        <f t="shared" si="2"/>
        <v>#VALUE!</v>
      </c>
      <c r="M11" t="str">
        <f>Sheet4!AS11</f>
        <v>19.10.2017</v>
      </c>
      <c r="N11" s="15">
        <f t="shared" si="3"/>
        <v>43027</v>
      </c>
      <c r="P11" t="e">
        <f t="shared" si="4"/>
        <v>#VALUE!</v>
      </c>
      <c r="Q11" t="e">
        <f t="shared" si="5"/>
        <v>#VALUE!</v>
      </c>
    </row>
    <row r="12" spans="1:35" x14ac:dyDescent="0.3">
      <c r="A12" t="str">
        <f>Sheet4!A12</f>
        <v>4c O 81/17</v>
      </c>
      <c r="B12" t="str">
        <f>Sheet4!B12</f>
        <v>Duesseldorf</v>
      </c>
      <c r="C12" t="str">
        <f>Sheet4!E12</f>
        <v>No</v>
      </c>
      <c r="D12" s="6" t="str">
        <f>Sheet4!N12</f>
        <v>11.07.2018</v>
      </c>
      <c r="E12" s="14">
        <f t="shared" si="0"/>
        <v>43292</v>
      </c>
      <c r="F12" t="str">
        <f>Sheet4!U12</f>
        <v>24.09.2017</v>
      </c>
      <c r="G12" s="15">
        <f t="shared" si="1"/>
        <v>43002</v>
      </c>
      <c r="H12" t="str">
        <f>Sheet4!AO12</f>
        <v>Yes</v>
      </c>
      <c r="I12" t="str">
        <f>Sheet4!AQ12</f>
        <v>5 Ni 50/16 (EP)</v>
      </c>
      <c r="J12" t="str">
        <f>Sheet4!AP12</f>
        <v>Partially invalid for Germany</v>
      </c>
      <c r="K12" t="str">
        <f>Sheet4!AR12</f>
        <v>12.02.2020</v>
      </c>
      <c r="L12" s="15">
        <f t="shared" si="2"/>
        <v>43873</v>
      </c>
      <c r="M12" t="str">
        <f>Sheet4!AS12</f>
        <v>26.07.2016</v>
      </c>
      <c r="N12" s="15">
        <f t="shared" si="3"/>
        <v>42577</v>
      </c>
      <c r="P12">
        <f t="shared" si="4"/>
        <v>1296</v>
      </c>
      <c r="Q12">
        <f t="shared" si="5"/>
        <v>581</v>
      </c>
    </row>
    <row r="13" spans="1:35" x14ac:dyDescent="0.3">
      <c r="A13" t="str">
        <f>Sheet4!A13</f>
        <v>4c O 12/17</v>
      </c>
      <c r="B13" t="str">
        <f>Sheet4!B13</f>
        <v>Duesseldorf</v>
      </c>
      <c r="C13" t="str">
        <f>Sheet4!E13</f>
        <v>Yes</v>
      </c>
      <c r="D13" s="6" t="str">
        <f>Sheet4!N13</f>
        <v>08.01.2019</v>
      </c>
      <c r="E13" s="14">
        <f t="shared" si="0"/>
        <v>43473</v>
      </c>
      <c r="F13" t="str">
        <f>Sheet4!U13</f>
        <v>10.02.2017</v>
      </c>
      <c r="G13" s="15">
        <f t="shared" si="1"/>
        <v>42776</v>
      </c>
      <c r="H13" t="str">
        <f>Sheet4!AO13</f>
        <v>Yes</v>
      </c>
      <c r="I13" t="str">
        <f>Sheet4!AQ13</f>
        <v>2 Ni 48/17 (EP), 2 Ni 51/17 (EP)</v>
      </c>
      <c r="J13" t="str">
        <f>Sheet4!AP13</f>
        <v>-</v>
      </c>
      <c r="K13" t="str">
        <f>Sheet4!AR13</f>
        <v>-</v>
      </c>
      <c r="L13" s="15" t="e">
        <f t="shared" si="2"/>
        <v>#VALUE!</v>
      </c>
      <c r="M13" t="str">
        <f>Sheet4!AS13</f>
        <v>24.08.2017</v>
      </c>
      <c r="N13" s="15">
        <f t="shared" si="3"/>
        <v>42971</v>
      </c>
      <c r="P13" t="e">
        <f t="shared" si="4"/>
        <v>#VALUE!</v>
      </c>
      <c r="Q13" t="e">
        <f t="shared" si="5"/>
        <v>#VALUE!</v>
      </c>
    </row>
    <row r="14" spans="1:35" x14ac:dyDescent="0.3">
      <c r="A14" t="str">
        <f>Sheet4!A14</f>
        <v>4c O 44/18</v>
      </c>
      <c r="B14" t="str">
        <f>Sheet4!B14</f>
        <v>Duesseldorf</v>
      </c>
      <c r="C14" t="str">
        <f>Sheet4!E14</f>
        <v>Yes</v>
      </c>
      <c r="D14" s="6" t="str">
        <f>Sheet4!N14</f>
        <v>07.05.2020</v>
      </c>
      <c r="E14" s="14">
        <f t="shared" si="0"/>
        <v>43958</v>
      </c>
      <c r="F14">
        <f>Sheet4!U14</f>
        <v>0</v>
      </c>
      <c r="G14" s="15" t="e">
        <f t="shared" si="1"/>
        <v>#VALUE!</v>
      </c>
      <c r="H14" t="str">
        <f>Sheet4!AO14</f>
        <v>Yes</v>
      </c>
      <c r="I14" t="str">
        <f>Sheet4!AQ14</f>
        <v>2 Ni 39/21 (EP)</v>
      </c>
      <c r="J14" t="str">
        <f>Sheet4!AP14</f>
        <v>Invalid for Germany</v>
      </c>
      <c r="K14" t="str">
        <f>Sheet4!AR14</f>
        <v>16.03.2023</v>
      </c>
      <c r="L14" s="15">
        <f t="shared" si="2"/>
        <v>45001</v>
      </c>
      <c r="M14" t="str">
        <f>Sheet4!AS14</f>
        <v>29.03.2019</v>
      </c>
      <c r="N14" s="15">
        <f t="shared" si="3"/>
        <v>43553</v>
      </c>
      <c r="P14">
        <f t="shared" si="4"/>
        <v>1448</v>
      </c>
      <c r="Q14">
        <f t="shared" si="5"/>
        <v>1043</v>
      </c>
    </row>
    <row r="15" spans="1:35" x14ac:dyDescent="0.3">
      <c r="A15" t="str">
        <f>Sheet4!A15</f>
        <v>4c O 56/18</v>
      </c>
      <c r="B15" t="str">
        <f>Sheet4!B15</f>
        <v>Duesseldorf</v>
      </c>
      <c r="C15" t="str">
        <f>Sheet4!E15</f>
        <v>Yes</v>
      </c>
      <c r="D15" s="6" t="str">
        <f>Sheet4!N15</f>
        <v>07.05.2020</v>
      </c>
      <c r="E15" s="14">
        <f t="shared" si="0"/>
        <v>43958</v>
      </c>
      <c r="F15" t="str">
        <f>Sheet4!U15</f>
        <v>24.09.2018</v>
      </c>
      <c r="G15" s="15">
        <f t="shared" si="1"/>
        <v>43367</v>
      </c>
      <c r="H15" t="str">
        <f>Sheet4!AO15</f>
        <v>Yes</v>
      </c>
      <c r="I15" t="str">
        <f>Sheet4!AQ15</f>
        <v>2 Ni 7/21 (EP)</v>
      </c>
      <c r="J15" t="str">
        <f>Sheet4!AP15</f>
        <v>Partially invalid for Germany</v>
      </c>
      <c r="K15" t="str">
        <f>Sheet4!AR15</f>
        <v>27.01.2023</v>
      </c>
      <c r="L15" s="15">
        <f t="shared" si="2"/>
        <v>44953</v>
      </c>
      <c r="M15" t="str">
        <f>Sheet4!AS15</f>
        <v>08.04.2019</v>
      </c>
      <c r="N15" s="15">
        <f t="shared" si="3"/>
        <v>43563</v>
      </c>
      <c r="P15">
        <f t="shared" si="4"/>
        <v>1390</v>
      </c>
      <c r="Q15">
        <f t="shared" si="5"/>
        <v>995</v>
      </c>
    </row>
    <row r="16" spans="1:35" x14ac:dyDescent="0.3">
      <c r="A16" t="str">
        <f>Sheet4!A16</f>
        <v>4c O 69/18</v>
      </c>
      <c r="B16" t="str">
        <f>Sheet4!B16</f>
        <v>Duesseldorf</v>
      </c>
      <c r="C16" t="str">
        <f>Sheet4!E16</f>
        <v>Yes</v>
      </c>
      <c r="D16" s="6" t="str">
        <f>Sheet4!N16</f>
        <v>07.05.2020</v>
      </c>
      <c r="E16" s="14">
        <f t="shared" si="0"/>
        <v>43958</v>
      </c>
      <c r="F16" t="str">
        <f>Sheet4!U16</f>
        <v>22.11.2018</v>
      </c>
      <c r="G16" s="15">
        <f t="shared" si="1"/>
        <v>43426</v>
      </c>
      <c r="H16" t="str">
        <f>Sheet4!AO16</f>
        <v>Yes</v>
      </c>
      <c r="I16" t="str">
        <f>Sheet4!AQ16</f>
        <v>5 Ni 7/19 (EP)</v>
      </c>
      <c r="J16" t="str">
        <f>Sheet4!AP16</f>
        <v>-</v>
      </c>
      <c r="K16" t="str">
        <f>Sheet4!AR16</f>
        <v>-</v>
      </c>
      <c r="L16" s="15" t="e">
        <f t="shared" si="2"/>
        <v>#VALUE!</v>
      </c>
      <c r="M16" t="str">
        <f>Sheet4!AS16</f>
        <v>24.07.2019</v>
      </c>
      <c r="N16" s="15">
        <f t="shared" si="3"/>
        <v>43670</v>
      </c>
      <c r="P16" t="e">
        <f t="shared" si="4"/>
        <v>#VALUE!</v>
      </c>
      <c r="Q16" t="e">
        <f t="shared" si="5"/>
        <v>#VALUE!</v>
      </c>
    </row>
    <row r="17" spans="1:32" x14ac:dyDescent="0.3">
      <c r="A17" s="10" t="str">
        <f>Sheet4!A17</f>
        <v>4c O 17/19</v>
      </c>
      <c r="B17" t="str">
        <f>Sheet4!B17</f>
        <v>Duesseldorf</v>
      </c>
      <c r="C17" t="str">
        <f>Sheet4!E17</f>
        <v>n./a.</v>
      </c>
      <c r="D17" s="6" t="str">
        <f>Sheet4!N17</f>
        <v>26.11.2020</v>
      </c>
      <c r="E17" s="14">
        <f t="shared" si="0"/>
        <v>44161</v>
      </c>
      <c r="F17" t="str">
        <f>Sheet4!U17</f>
        <v>21.03.2019</v>
      </c>
      <c r="G17" s="15">
        <f t="shared" si="1"/>
        <v>43545</v>
      </c>
      <c r="H17" t="str">
        <f>Sheet4!AO17</f>
        <v>Yes</v>
      </c>
      <c r="I17" t="str">
        <f>Sheet4!AQ17</f>
        <v>2 Ni 37/20 (EP)</v>
      </c>
      <c r="J17" t="str">
        <f>Sheet4!AP17</f>
        <v>Invalid for Germany</v>
      </c>
      <c r="K17" t="str">
        <f>Sheet4!AR17</f>
        <v>17.03.2022</v>
      </c>
      <c r="L17" s="15">
        <f t="shared" si="2"/>
        <v>44637</v>
      </c>
      <c r="M17" t="str">
        <f>Sheet4!AS17</f>
        <v>26.07.2019?</v>
      </c>
      <c r="N17" s="15" t="e">
        <f t="shared" si="3"/>
        <v>#VALUE!</v>
      </c>
      <c r="P17" t="e">
        <f t="shared" si="4"/>
        <v>#VALUE!</v>
      </c>
      <c r="Q17">
        <f t="shared" si="5"/>
        <v>476</v>
      </c>
    </row>
    <row r="18" spans="1:32" x14ac:dyDescent="0.3">
      <c r="A18" t="str">
        <f>Sheet4!A18</f>
        <v>7 O 96/14</v>
      </c>
      <c r="B18" t="str">
        <f>Sheet4!B18</f>
        <v>Mannheim</v>
      </c>
      <c r="C18" t="str">
        <f>Sheet4!E18</f>
        <v>Yes</v>
      </c>
      <c r="D18" s="6" t="str">
        <f>Sheet4!N18</f>
        <v>08.01.2016</v>
      </c>
      <c r="E18" s="14">
        <f t="shared" si="0"/>
        <v>42377</v>
      </c>
      <c r="F18" t="str">
        <f>Sheet4!U18</f>
        <v>22.06.2014</v>
      </c>
      <c r="G18" s="15">
        <f t="shared" si="1"/>
        <v>41812</v>
      </c>
      <c r="H18" t="str">
        <f>Sheet4!AO18</f>
        <v>Yes</v>
      </c>
      <c r="I18" t="str">
        <f>Sheet4!AQ18</f>
        <v>2 Ni 23/16, 2 Ni 38/17 (EP), 2 Ni 10/15 (EP)</v>
      </c>
      <c r="J18" t="str">
        <f>Sheet4!AP18</f>
        <v>-</v>
      </c>
      <c r="K18" t="str">
        <f>Sheet4!AR18</f>
        <v>-</v>
      </c>
      <c r="L18" s="15" t="e">
        <f t="shared" si="2"/>
        <v>#VALUE!</v>
      </c>
      <c r="M18" t="str">
        <f>Sheet4!AS18</f>
        <v>05.06.2015</v>
      </c>
      <c r="N18" s="15">
        <f t="shared" si="3"/>
        <v>42160</v>
      </c>
      <c r="P18" t="e">
        <f t="shared" si="4"/>
        <v>#VALUE!</v>
      </c>
      <c r="Q18" t="e">
        <f t="shared" si="5"/>
        <v>#VALUE!</v>
      </c>
    </row>
    <row r="19" spans="1:32" x14ac:dyDescent="0.3">
      <c r="A19" t="str">
        <f>Sheet4!A19</f>
        <v>7 O 66/15</v>
      </c>
      <c r="B19" t="str">
        <f>Sheet4!B19</f>
        <v>Mannheim</v>
      </c>
      <c r="C19" t="str">
        <f>Sheet4!E19</f>
        <v>Yes</v>
      </c>
      <c r="D19" s="6" t="str">
        <f>Sheet4!N19</f>
        <v>29.01.2016</v>
      </c>
      <c r="E19" s="14">
        <f t="shared" si="0"/>
        <v>42398</v>
      </c>
      <c r="F19" t="str">
        <f>Sheet4!U19</f>
        <v>05.04.2015</v>
      </c>
      <c r="G19" s="15">
        <f t="shared" si="1"/>
        <v>42099</v>
      </c>
      <c r="H19" t="str">
        <f>Sheet4!AO19</f>
        <v>Yes</v>
      </c>
      <c r="I19" t="str">
        <f>Sheet4!AQ19</f>
        <v>5 Ni 30/15 (EP)</v>
      </c>
      <c r="J19" t="str">
        <f>Sheet4!AP19</f>
        <v>-</v>
      </c>
      <c r="K19" t="str">
        <f>Sheet4!AR19</f>
        <v>-</v>
      </c>
      <c r="L19" s="15" t="e">
        <f t="shared" si="2"/>
        <v>#VALUE!</v>
      </c>
      <c r="M19" t="str">
        <f>Sheet4!AS19</f>
        <v>03.07.2015</v>
      </c>
      <c r="N19" s="15">
        <f t="shared" si="3"/>
        <v>42188</v>
      </c>
      <c r="P19" t="e">
        <f t="shared" si="4"/>
        <v>#VALUE!</v>
      </c>
      <c r="Q19" t="e">
        <f t="shared" si="5"/>
        <v>#VALUE!</v>
      </c>
    </row>
    <row r="20" spans="1:32" x14ac:dyDescent="0.3">
      <c r="A20" t="str">
        <f>Sheet4!A20</f>
        <v>7 O 115/16</v>
      </c>
      <c r="B20" t="str">
        <f>Sheet4!B20</f>
        <v>Mannheim</v>
      </c>
      <c r="C20" t="str">
        <f>Sheet4!E20</f>
        <v>Yes</v>
      </c>
      <c r="D20" s="6" t="str">
        <f>Sheet4!N20</f>
        <v>04.09.2019</v>
      </c>
      <c r="E20" s="14">
        <f t="shared" si="0"/>
        <v>43712</v>
      </c>
      <c r="F20" t="str">
        <f>Sheet4!U20</f>
        <v>02.07.2016</v>
      </c>
      <c r="G20" s="15">
        <f t="shared" si="1"/>
        <v>42553</v>
      </c>
      <c r="H20" t="str">
        <f>Sheet4!AO20</f>
        <v>Yes</v>
      </c>
      <c r="I20" t="str">
        <f>Sheet4!AQ20</f>
        <v>6 Ni 70/16 (EP)</v>
      </c>
      <c r="J20" t="str">
        <f>Sheet4!AP20</f>
        <v>Partially invalid for Germany</v>
      </c>
      <c r="K20" t="str">
        <f>Sheet4!AR20</f>
        <v>17.10.2018</v>
      </c>
      <c r="L20" s="15">
        <f t="shared" si="2"/>
        <v>43390</v>
      </c>
      <c r="M20" t="str">
        <f>Sheet4!AS20</f>
        <v>10.11.2016</v>
      </c>
      <c r="N20" s="15">
        <f t="shared" si="3"/>
        <v>42684</v>
      </c>
      <c r="P20">
        <f t="shared" si="4"/>
        <v>706</v>
      </c>
      <c r="Q20">
        <f t="shared" si="5"/>
        <v>-322</v>
      </c>
    </row>
    <row r="21" spans="1:32" x14ac:dyDescent="0.3">
      <c r="A21" t="str">
        <f>Sheet4!A21</f>
        <v>7 O 165/16</v>
      </c>
      <c r="B21" t="str">
        <f>Sheet4!B21</f>
        <v>Mannheim</v>
      </c>
      <c r="C21" t="str">
        <f>Sheet4!E21</f>
        <v>No</v>
      </c>
      <c r="D21" s="6" t="str">
        <f>Sheet4!N21</f>
        <v>13.07.2018</v>
      </c>
      <c r="E21" s="14">
        <f t="shared" si="0"/>
        <v>43294</v>
      </c>
      <c r="F21" t="str">
        <f>Sheet4!U21</f>
        <v>23.09.2016</v>
      </c>
      <c r="G21" s="15">
        <f t="shared" si="1"/>
        <v>42636</v>
      </c>
      <c r="H21" t="str">
        <f>Sheet4!AO21</f>
        <v>Yes</v>
      </c>
      <c r="I21" t="str">
        <f>Sheet4!AQ21</f>
        <v>2 Ni 14/17 (EP)</v>
      </c>
      <c r="J21" t="str">
        <f>Sheet4!AP21</f>
        <v>Partially invalid for Germany</v>
      </c>
      <c r="K21" t="str">
        <f>Sheet4!AR21</f>
        <v>19.09.2019</v>
      </c>
      <c r="L21" s="15">
        <f t="shared" si="2"/>
        <v>43727</v>
      </c>
      <c r="M21" t="str">
        <f>Sheet4!AS21</f>
        <v>10.03.2017?</v>
      </c>
      <c r="N21" s="15" t="e">
        <f t="shared" si="3"/>
        <v>#VALUE!</v>
      </c>
      <c r="P21" t="e">
        <f t="shared" si="4"/>
        <v>#VALUE!</v>
      </c>
      <c r="Q21">
        <f t="shared" si="5"/>
        <v>433</v>
      </c>
    </row>
    <row r="22" spans="1:32" x14ac:dyDescent="0.3">
      <c r="A22" t="str">
        <f>Sheet4!A22</f>
        <v>7 O 19/16</v>
      </c>
      <c r="B22" t="str">
        <f>Sheet4!B22</f>
        <v>Mannheim</v>
      </c>
      <c r="C22" t="str">
        <f>Sheet4!E22</f>
        <v>No</v>
      </c>
      <c r="D22" s="6" t="str">
        <f>Sheet4!N22</f>
        <v>17.11.2016</v>
      </c>
      <c r="E22" s="14">
        <f t="shared" si="0"/>
        <v>42691</v>
      </c>
      <c r="F22" t="str">
        <f>Sheet4!U22</f>
        <v>19.01.2016</v>
      </c>
      <c r="G22" s="15">
        <f t="shared" si="1"/>
        <v>42388</v>
      </c>
      <c r="H22" t="str">
        <f>Sheet4!AO22</f>
        <v>Yes</v>
      </c>
      <c r="I22" t="str">
        <f>Sheet4!AQ22</f>
        <v>2 Ni 10/17 (EP)</v>
      </c>
      <c r="J22" t="str">
        <f>Sheet4!AP22</f>
        <v>Invalid for Germany</v>
      </c>
      <c r="K22" t="str">
        <f>Sheet4!AR22</f>
        <v>25.03.2019</v>
      </c>
      <c r="L22" s="15">
        <f t="shared" si="2"/>
        <v>43549</v>
      </c>
      <c r="M22" t="str">
        <f>Sheet4!AS22</f>
        <v>08.04.2016</v>
      </c>
      <c r="N22" s="15">
        <f t="shared" si="3"/>
        <v>42468</v>
      </c>
      <c r="P22">
        <f t="shared" si="4"/>
        <v>1081</v>
      </c>
      <c r="Q22">
        <f t="shared" si="5"/>
        <v>858</v>
      </c>
    </row>
    <row r="23" spans="1:32" x14ac:dyDescent="0.3">
      <c r="A23" t="str">
        <f>Sheet4!A23</f>
        <v>7 O 209/15</v>
      </c>
      <c r="B23" t="str">
        <f>Sheet4!B23</f>
        <v>Mannheim</v>
      </c>
      <c r="C23" t="str">
        <f>Sheet4!E23</f>
        <v>No</v>
      </c>
      <c r="D23" s="6" t="str">
        <f>Sheet4!N23</f>
        <v>17.11.2016</v>
      </c>
      <c r="E23" s="14">
        <f t="shared" si="0"/>
        <v>42691</v>
      </c>
      <c r="F23" t="str">
        <f>Sheet4!U23</f>
        <v>31.10.2015</v>
      </c>
      <c r="G23" s="15">
        <f t="shared" si="1"/>
        <v>42308</v>
      </c>
      <c r="H23" t="str">
        <f>Sheet4!AO23</f>
        <v>Yes</v>
      </c>
      <c r="I23" t="str">
        <f>Sheet4!AQ23</f>
        <v>6 Ni 39/16 (EP)</v>
      </c>
      <c r="J23" t="str">
        <f>Sheet4!AP23</f>
        <v>Partially invalid for Germany</v>
      </c>
      <c r="K23" t="str">
        <f>Sheet4!AR23</f>
        <v>13.11.2018</v>
      </c>
      <c r="L23" s="15">
        <f t="shared" si="2"/>
        <v>43417</v>
      </c>
      <c r="M23" t="str">
        <f>Sheet4!AS23</f>
        <v>24.03.2016</v>
      </c>
      <c r="N23" s="15">
        <f t="shared" si="3"/>
        <v>42453</v>
      </c>
      <c r="P23">
        <f t="shared" si="4"/>
        <v>964</v>
      </c>
      <c r="Q23">
        <f t="shared" si="5"/>
        <v>726</v>
      </c>
      <c r="AE23" t="s">
        <v>545</v>
      </c>
      <c r="AF23">
        <f>COUNTIFS(C2:C46,"Yes",H2:H46,"Yes")</f>
        <v>25</v>
      </c>
    </row>
    <row r="24" spans="1:32" x14ac:dyDescent="0.3">
      <c r="A24" t="str">
        <f>Sheet4!A24</f>
        <v>7 O 18/17</v>
      </c>
      <c r="B24" t="str">
        <f>Sheet4!B24</f>
        <v>Mannheim</v>
      </c>
      <c r="C24" t="str">
        <f>Sheet4!E24</f>
        <v>No</v>
      </c>
      <c r="D24" s="6" t="str">
        <f>Sheet4!N24</f>
        <v>02.03.2018</v>
      </c>
      <c r="E24" s="14">
        <f t="shared" si="0"/>
        <v>43161</v>
      </c>
      <c r="F24" t="str">
        <f>Sheet4!U24</f>
        <v>29.01.2017</v>
      </c>
      <c r="G24" s="15">
        <f t="shared" si="1"/>
        <v>42764</v>
      </c>
      <c r="H24" t="str">
        <f>Sheet4!AO24</f>
        <v>Yes</v>
      </c>
      <c r="I24" t="str">
        <f>Sheet4!AQ24</f>
        <v>6 Ni 24/17 (EP)</v>
      </c>
      <c r="J24" t="str">
        <f>Sheet4!AP24</f>
        <v>Charges dismissed</v>
      </c>
      <c r="K24" t="str">
        <f>Sheet4!AR24</f>
        <v>02.10.2019</v>
      </c>
      <c r="L24" s="15">
        <f t="shared" si="2"/>
        <v>43740</v>
      </c>
      <c r="M24" t="str">
        <f>Sheet4!AS24</f>
        <v>17.06.2019</v>
      </c>
      <c r="N24" s="15">
        <f t="shared" si="3"/>
        <v>43633</v>
      </c>
      <c r="P24">
        <f t="shared" si="4"/>
        <v>107</v>
      </c>
      <c r="Q24">
        <f t="shared" si="5"/>
        <v>579</v>
      </c>
      <c r="AE24" t="s">
        <v>544</v>
      </c>
      <c r="AF24">
        <f>COUNTIFS(C2:C46,"Yes",H2:H46,"No") + COUNTIFS(C2:C46,"Yes",H2:H46,"?")</f>
        <v>2</v>
      </c>
    </row>
    <row r="25" spans="1:32" x14ac:dyDescent="0.3">
      <c r="A25" t="str">
        <f>Sheet4!A25</f>
        <v>2 O 136/18</v>
      </c>
      <c r="B25" t="str">
        <f>Sheet4!B25</f>
        <v>Mannheim</v>
      </c>
      <c r="C25" t="str">
        <f>Sheet4!E25</f>
        <v>No</v>
      </c>
      <c r="D25" s="6" t="str">
        <f>Sheet4!N25</f>
        <v>21.08.2020</v>
      </c>
      <c r="E25" s="14">
        <f t="shared" si="0"/>
        <v>44064</v>
      </c>
      <c r="F25" t="str">
        <f>Sheet4!U25</f>
        <v>17.10.2018</v>
      </c>
      <c r="G25" s="15">
        <f t="shared" si="1"/>
        <v>43390</v>
      </c>
      <c r="H25" t="str">
        <f>Sheet4!AO25</f>
        <v>Yes</v>
      </c>
      <c r="I25" t="str">
        <f>Sheet4!AQ25</f>
        <v>2 Ni 14/17 (EP)</v>
      </c>
      <c r="J25" t="str">
        <f>Sheet4!AP25</f>
        <v>Partially invalid for Germany</v>
      </c>
      <c r="K25" t="str">
        <f>Sheet4!AR25</f>
        <v>19.09.2019</v>
      </c>
      <c r="L25" s="15">
        <f t="shared" si="2"/>
        <v>43727</v>
      </c>
      <c r="M25" t="str">
        <f>Sheet4!AS25</f>
        <v>10.03.2017?</v>
      </c>
      <c r="N25" s="15" t="e">
        <f t="shared" si="3"/>
        <v>#VALUE!</v>
      </c>
      <c r="P25" t="e">
        <f t="shared" si="4"/>
        <v>#VALUE!</v>
      </c>
      <c r="Q25">
        <f t="shared" si="5"/>
        <v>-337</v>
      </c>
      <c r="AE25" t="s">
        <v>557</v>
      </c>
      <c r="AF25">
        <f>COUNTIFS(C2:C46, "Yes", J2:J46, "Invalid for Germany") + COUNTIFS(C2:C46, "Yes", J2:J46, "Partially invalid for Germany") + COUNTIFS(C2:C46, "Yes", J2:J46, "Fully revoked")</f>
        <v>12</v>
      </c>
    </row>
    <row r="26" spans="1:32" x14ac:dyDescent="0.3">
      <c r="A26" t="str">
        <f>Sheet4!A26</f>
        <v>2 O 131/19</v>
      </c>
      <c r="B26" t="str">
        <f>Sheet4!B26</f>
        <v>Mannheim</v>
      </c>
      <c r="C26" t="str">
        <f>Sheet4!E26</f>
        <v>Yes</v>
      </c>
      <c r="D26" s="6" t="str">
        <f>Sheet4!N26</f>
        <v>02.03.2021</v>
      </c>
      <c r="E26" s="14">
        <f t="shared" si="0"/>
        <v>44257</v>
      </c>
      <c r="F26">
        <f>Sheet4!U26</f>
        <v>0</v>
      </c>
      <c r="G26" s="15" t="e">
        <f t="shared" si="1"/>
        <v>#VALUE!</v>
      </c>
      <c r="H26" t="str">
        <f>Sheet4!AO26</f>
        <v>?</v>
      </c>
      <c r="I26" t="str">
        <f>Sheet4!AQ26</f>
        <v>?</v>
      </c>
      <c r="J26" t="str">
        <f>Sheet4!AP26</f>
        <v>?</v>
      </c>
      <c r="K26" t="str">
        <f>Sheet4!AR26</f>
        <v>?</v>
      </c>
      <c r="L26" s="15" t="e">
        <f t="shared" si="2"/>
        <v>#VALUE!</v>
      </c>
      <c r="M26" t="str">
        <f>Sheet4!AS26</f>
        <v>?</v>
      </c>
      <c r="N26" s="15" t="e">
        <f t="shared" si="3"/>
        <v>#VALUE!</v>
      </c>
      <c r="P26" t="e">
        <f t="shared" si="4"/>
        <v>#VALUE!</v>
      </c>
      <c r="Q26" t="e">
        <f t="shared" si="5"/>
        <v>#VALUE!</v>
      </c>
      <c r="AE26" t="s">
        <v>558</v>
      </c>
      <c r="AF26">
        <f>COUNTIFS(C2:C46, "Yes", J2:J46, "Charges dismissed") + COUNTIFS(C2:C46, "Yes", H2:H46, "Yes", J2:J46, "-")</f>
        <v>13</v>
      </c>
    </row>
    <row r="27" spans="1:32" x14ac:dyDescent="0.3">
      <c r="A27" t="str">
        <f>Sheet4!A27</f>
        <v>2 O 34/19</v>
      </c>
      <c r="B27" t="str">
        <f>Sheet4!B27</f>
        <v>Mannheim</v>
      </c>
      <c r="C27" t="str">
        <f>Sheet4!E27</f>
        <v>Yes</v>
      </c>
      <c r="D27" s="6" t="str">
        <f>Sheet4!N27</f>
        <v>18.08.2020</v>
      </c>
      <c r="E27" s="14">
        <f t="shared" si="0"/>
        <v>44061</v>
      </c>
      <c r="F27" t="str">
        <f>Sheet4!U27</f>
        <v>21.03.2019</v>
      </c>
      <c r="G27" s="15">
        <f t="shared" si="1"/>
        <v>43545</v>
      </c>
      <c r="H27" t="str">
        <f>Sheet4!AO27</f>
        <v>Yes</v>
      </c>
      <c r="I27" t="str">
        <f>Sheet4!AQ27</f>
        <v>5 Ni 24/19 (EP)</v>
      </c>
      <c r="J27" t="str">
        <f>Sheet4!AP27</f>
        <v>-</v>
      </c>
      <c r="K27" t="str">
        <f>Sheet4!AR27</f>
        <v>-</v>
      </c>
      <c r="L27" s="15" t="e">
        <f t="shared" si="2"/>
        <v>#VALUE!</v>
      </c>
      <c r="M27" t="str">
        <f>Sheet4!AS27</f>
        <v>04.12.2019</v>
      </c>
      <c r="N27" s="15">
        <f t="shared" si="3"/>
        <v>43803</v>
      </c>
      <c r="P27" t="e">
        <f t="shared" si="4"/>
        <v>#VALUE!</v>
      </c>
      <c r="Q27" t="e">
        <f t="shared" si="5"/>
        <v>#VALUE!</v>
      </c>
      <c r="T27" t="s">
        <v>31</v>
      </c>
      <c r="U27" t="s">
        <v>25</v>
      </c>
      <c r="W27" t="s">
        <v>247</v>
      </c>
    </row>
    <row r="28" spans="1:32" x14ac:dyDescent="0.3">
      <c r="A28" t="str">
        <f>Sheet4!A28</f>
        <v>7 O 15350/19</v>
      </c>
      <c r="B28" t="str">
        <f>Sheet4!B28</f>
        <v>Munich</v>
      </c>
      <c r="C28" t="str">
        <f>Sheet4!E28</f>
        <v>Yes</v>
      </c>
      <c r="D28" s="6" t="str">
        <f>Sheet4!N28</f>
        <v>19.08.2021</v>
      </c>
      <c r="E28" s="14">
        <f t="shared" si="0"/>
        <v>44427</v>
      </c>
      <c r="F28" t="str">
        <f>Sheet4!U28</f>
        <v>10.10.2019</v>
      </c>
      <c r="G28" s="15">
        <f t="shared" si="1"/>
        <v>43748</v>
      </c>
      <c r="H28" t="str">
        <f>Sheet4!AO28</f>
        <v>Yes</v>
      </c>
      <c r="I28" t="str">
        <f>Sheet4!AQ28</f>
        <v>4 Ni 11/21 (EP)</v>
      </c>
      <c r="J28" t="str">
        <f>Sheet4!AP28</f>
        <v>Invalid for Germany</v>
      </c>
      <c r="K28" t="str">
        <f>Sheet4!AR28</f>
        <v>02.08.2022</v>
      </c>
      <c r="L28" s="15">
        <f t="shared" si="2"/>
        <v>44775</v>
      </c>
      <c r="M28" t="str">
        <f>Sheet4!AS28</f>
        <v>10.09.2020</v>
      </c>
      <c r="N28" s="15">
        <f t="shared" si="3"/>
        <v>44084</v>
      </c>
      <c r="P28">
        <f t="shared" si="4"/>
        <v>691</v>
      </c>
      <c r="Q28">
        <f t="shared" si="5"/>
        <v>348</v>
      </c>
      <c r="S28" t="s">
        <v>500</v>
      </c>
      <c r="T28">
        <f>COUNTIFS($C$2:$C$46, $T$27, $H$2:$H$46, T$27)</f>
        <v>25</v>
      </c>
      <c r="U28">
        <f>COUNTIFS($C$2:$C$46, $T$27, $H$2:$H$46, U$27)</f>
        <v>1</v>
      </c>
      <c r="W28">
        <f t="shared" ref="W28" si="7">COUNTIFS($C$2:$C$46, $T$27, $H$2:$H$46, W$27)</f>
        <v>1</v>
      </c>
    </row>
    <row r="29" spans="1:32" x14ac:dyDescent="0.3">
      <c r="A29" t="str">
        <f>Sheet4!A29</f>
        <v>2 O 75/21</v>
      </c>
      <c r="B29" t="str">
        <f>Sheet4!B29</f>
        <v>Mannheim</v>
      </c>
      <c r="C29" t="str">
        <f>Sheet4!E29</f>
        <v>Yes</v>
      </c>
      <c r="D29" s="6" t="str">
        <f>Sheet4!N29</f>
        <v>05.07.2022</v>
      </c>
      <c r="E29" s="14">
        <f t="shared" si="0"/>
        <v>44747</v>
      </c>
      <c r="F29" t="str">
        <f>Sheet4!U29</f>
        <v>08.07.2021</v>
      </c>
      <c r="G29" s="15">
        <f t="shared" si="1"/>
        <v>44385</v>
      </c>
      <c r="H29" t="str">
        <f>Sheet4!AO29</f>
        <v>Yes</v>
      </c>
      <c r="I29" t="str">
        <f>Sheet4!AQ29</f>
        <v>5 Ni 60/21 (EP)</v>
      </c>
      <c r="J29" t="str">
        <f>Sheet4!AP29</f>
        <v>-</v>
      </c>
      <c r="K29" t="str">
        <f>Sheet4!AR29</f>
        <v>-</v>
      </c>
      <c r="L29" s="15" t="e">
        <f t="shared" si="2"/>
        <v>#VALUE!</v>
      </c>
      <c r="M29" t="str">
        <f>Sheet4!AS29</f>
        <v>06.12.2021</v>
      </c>
      <c r="N29" s="15">
        <f t="shared" si="3"/>
        <v>44536</v>
      </c>
      <c r="P29" t="e">
        <f t="shared" si="4"/>
        <v>#VALUE!</v>
      </c>
      <c r="Q29" t="e">
        <f t="shared" si="5"/>
        <v>#VALUE!</v>
      </c>
      <c r="S29" t="s">
        <v>532</v>
      </c>
      <c r="T29">
        <f>COUNTIFS($C$2:$C$46, $U$27, $H$2:$H$46, T$27)</f>
        <v>16</v>
      </c>
      <c r="U29">
        <f>COUNTIFS($C$2:$C$46, $U$27, $H$2:$H$46, U$27)</f>
        <v>0</v>
      </c>
      <c r="W29">
        <f>COUNTIFS($C$2:$C$46, $U$27, $H$2:$H$46, W$27)</f>
        <v>1</v>
      </c>
    </row>
    <row r="30" spans="1:32" x14ac:dyDescent="0.3">
      <c r="A30" t="str">
        <f>Sheet4!A30</f>
        <v>7 O 28/16</v>
      </c>
      <c r="B30" t="str">
        <f>Sheet4!B30</f>
        <v>Mannheim</v>
      </c>
      <c r="C30" t="str">
        <f>Sheet4!E30</f>
        <v>No</v>
      </c>
      <c r="D30" s="6" t="str">
        <f>Sheet4!N30</f>
        <v>10.11.2017</v>
      </c>
      <c r="E30" s="14">
        <f t="shared" si="0"/>
        <v>43049</v>
      </c>
      <c r="F30" t="str">
        <f>Sheet4!U30</f>
        <v>03.02.2016</v>
      </c>
      <c r="G30" s="15">
        <f t="shared" si="1"/>
        <v>42403</v>
      </c>
      <c r="H30" t="str">
        <f>Sheet4!AO30</f>
        <v>Yes</v>
      </c>
      <c r="I30" t="str">
        <f>Sheet4!AQ30</f>
        <v>6 Ni 50/16 (EP)</v>
      </c>
      <c r="J30" t="str">
        <f>Sheet4!AP30</f>
        <v>Invalid for Germany</v>
      </c>
      <c r="K30" t="str">
        <f>Sheet4!AR30</f>
        <v>09.01.2020</v>
      </c>
      <c r="L30" s="15">
        <f t="shared" si="2"/>
        <v>43839</v>
      </c>
      <c r="M30" t="str">
        <f>Sheet4!AS30</f>
        <v>04.05.2016</v>
      </c>
      <c r="N30" s="15">
        <f t="shared" si="3"/>
        <v>42494</v>
      </c>
      <c r="P30">
        <f t="shared" si="4"/>
        <v>1345</v>
      </c>
      <c r="Q30">
        <f t="shared" si="5"/>
        <v>790</v>
      </c>
      <c r="S30" t="s">
        <v>344</v>
      </c>
      <c r="T30">
        <f>COUNTIFS($C$2:$C$46, "n./a.", $H$2:$H$46, T$27)</f>
        <v>1</v>
      </c>
      <c r="U30">
        <f t="shared" ref="U30:W30" si="8">COUNTIFS($C$2:$C$46, "n./a.", $H$2:$H$46, U$27)</f>
        <v>0</v>
      </c>
      <c r="W30">
        <f t="shared" si="8"/>
        <v>0</v>
      </c>
    </row>
    <row r="31" spans="1:32" x14ac:dyDescent="0.3">
      <c r="A31" t="str">
        <f>Sheet4!A31</f>
        <v>2 O 106/14</v>
      </c>
      <c r="B31" t="str">
        <f>Sheet4!B31</f>
        <v>Mannheim</v>
      </c>
      <c r="C31" t="str">
        <f>Sheet4!E31</f>
        <v>Yes</v>
      </c>
      <c r="D31" s="6" t="str">
        <f>Sheet4!N31</f>
        <v>27.11.2015</v>
      </c>
      <c r="E31" s="14">
        <f t="shared" si="0"/>
        <v>42335</v>
      </c>
      <c r="F31" t="str">
        <f>Sheet4!U31</f>
        <v>15.06.2014</v>
      </c>
      <c r="G31" s="15">
        <f t="shared" si="1"/>
        <v>41805</v>
      </c>
      <c r="H31" t="str">
        <f>Sheet4!AO31</f>
        <v>Yes</v>
      </c>
      <c r="I31" t="str">
        <f>Sheet4!AQ31</f>
        <v>4 Ni 6/15 (EP), 6 Ni 7/16 (EP), 6 Ni 63/16 (EP), 4 Ni 33/14 (EP)</v>
      </c>
      <c r="J31" t="str">
        <f>Sheet4!AP31</f>
        <v>-</v>
      </c>
      <c r="K31" t="str">
        <f>Sheet4!AR31</f>
        <v>-</v>
      </c>
      <c r="L31" s="15" t="e">
        <f t="shared" si="2"/>
        <v>#VALUE!</v>
      </c>
      <c r="M31" t="str">
        <f>Sheet4!AS31</f>
        <v>06.11.2014</v>
      </c>
      <c r="N31" s="15">
        <f t="shared" si="3"/>
        <v>41949</v>
      </c>
      <c r="P31" t="e">
        <f t="shared" si="4"/>
        <v>#VALUE!</v>
      </c>
      <c r="Q31" t="e">
        <f t="shared" si="5"/>
        <v>#VALUE!</v>
      </c>
      <c r="T31">
        <f>SUM(T28:T30)</f>
        <v>42</v>
      </c>
      <c r="U31">
        <f t="shared" ref="U31:W31" si="9">SUM(U28:U30)</f>
        <v>1</v>
      </c>
      <c r="W31">
        <f t="shared" si="9"/>
        <v>2</v>
      </c>
      <c r="X31">
        <f>SUM(T31:W31)</f>
        <v>45</v>
      </c>
    </row>
    <row r="32" spans="1:32" x14ac:dyDescent="0.3">
      <c r="A32" t="str">
        <f>Sheet4!A32</f>
        <v>21 O 11522/21</v>
      </c>
      <c r="B32" t="str">
        <f>Sheet4!B32</f>
        <v>Munich</v>
      </c>
      <c r="C32" t="str">
        <f>Sheet4!E32</f>
        <v>Yes</v>
      </c>
      <c r="D32" s="6" t="str">
        <f>Sheet4!N32</f>
        <v>05.08.2022</v>
      </c>
      <c r="E32" s="14">
        <f t="shared" si="0"/>
        <v>44778</v>
      </c>
      <c r="F32">
        <f>Sheet4!U32</f>
        <v>0</v>
      </c>
      <c r="G32" s="15" t="e">
        <f t="shared" si="1"/>
        <v>#VALUE!</v>
      </c>
      <c r="H32" t="str">
        <f>Sheet4!AO32</f>
        <v>Yes</v>
      </c>
      <c r="I32" t="str">
        <f>Sheet4!AQ32</f>
        <v>4 Ni 33/22 (EP)</v>
      </c>
      <c r="J32" t="str">
        <f>Sheet4!AP32</f>
        <v>-</v>
      </c>
      <c r="K32" t="str">
        <f>Sheet4!AR32</f>
        <v>-</v>
      </c>
      <c r="L32" s="15" t="e">
        <f t="shared" si="2"/>
        <v>#VALUE!</v>
      </c>
      <c r="M32" t="str">
        <f>Sheet4!AS32</f>
        <v>19.04.2022</v>
      </c>
      <c r="N32" s="15">
        <f t="shared" si="3"/>
        <v>44670</v>
      </c>
      <c r="P32" t="e">
        <f t="shared" si="4"/>
        <v>#VALUE!</v>
      </c>
      <c r="Q32" t="e">
        <f t="shared" si="5"/>
        <v>#VALUE!</v>
      </c>
    </row>
    <row r="33" spans="1:17" x14ac:dyDescent="0.3">
      <c r="A33" t="str">
        <f>Sheet4!A33</f>
        <v>21 O 1910/22</v>
      </c>
      <c r="B33" t="str">
        <f>Sheet4!B33</f>
        <v>Munich</v>
      </c>
      <c r="C33" t="str">
        <f>Sheet4!E33</f>
        <v>Yes</v>
      </c>
      <c r="D33" s="6" t="str">
        <f>Sheet4!N33</f>
        <v>19.04.2023</v>
      </c>
      <c r="E33" s="14">
        <f t="shared" si="0"/>
        <v>45035</v>
      </c>
      <c r="F33">
        <f>Sheet4!U33</f>
        <v>0</v>
      </c>
      <c r="G33" s="15" t="e">
        <f t="shared" si="1"/>
        <v>#VALUE!</v>
      </c>
      <c r="H33" t="str">
        <f>Sheet4!AO33</f>
        <v>Yes</v>
      </c>
      <c r="I33" t="str">
        <f>Sheet4!AQ33</f>
        <v>4 Ni 9/21 (EP)</v>
      </c>
      <c r="J33" t="str">
        <f>Sheet4!AP33</f>
        <v>Charges dismissed</v>
      </c>
      <c r="K33" t="str">
        <f>Sheet4!AR33</f>
        <v>06.12.2021</v>
      </c>
      <c r="L33" s="15">
        <f t="shared" si="2"/>
        <v>44536</v>
      </c>
      <c r="M33" t="str">
        <f>Sheet4!AS33</f>
        <v>08.05.2020</v>
      </c>
      <c r="N33" s="15">
        <f t="shared" si="3"/>
        <v>43959</v>
      </c>
      <c r="P33">
        <f t="shared" si="4"/>
        <v>577</v>
      </c>
      <c r="Q33">
        <f t="shared" si="5"/>
        <v>-499</v>
      </c>
    </row>
    <row r="34" spans="1:17" x14ac:dyDescent="0.3">
      <c r="A34" t="str">
        <f>Sheet4!A34</f>
        <v>21 O 4140/21</v>
      </c>
      <c r="B34" t="str">
        <f>Sheet4!B34</f>
        <v>Munich</v>
      </c>
      <c r="C34" t="str">
        <f>Sheet4!E34</f>
        <v>Yes</v>
      </c>
      <c r="D34" s="6" t="str">
        <f>Sheet4!N34</f>
        <v>17.02.2023</v>
      </c>
      <c r="E34" s="14">
        <f t="shared" si="0"/>
        <v>44974</v>
      </c>
      <c r="F34">
        <f>Sheet4!U34</f>
        <v>0</v>
      </c>
      <c r="G34" s="15" t="e">
        <f t="shared" si="1"/>
        <v>#VALUE!</v>
      </c>
      <c r="H34" t="str">
        <f>Sheet4!AO34</f>
        <v>Yes</v>
      </c>
      <c r="I34" t="str">
        <f>Sheet4!AQ34</f>
        <v>2 Ni 7/21 (EP)</v>
      </c>
      <c r="J34" t="str">
        <f>Sheet4!AP34</f>
        <v>Partially invalid for Germany</v>
      </c>
      <c r="K34" t="str">
        <f>Sheet4!AR34</f>
        <v>27.01.2023</v>
      </c>
      <c r="L34" s="15">
        <f t="shared" si="2"/>
        <v>44953</v>
      </c>
      <c r="M34" t="str">
        <f>Sheet4!AS34</f>
        <v>08.04.2019</v>
      </c>
      <c r="N34" s="15">
        <f t="shared" si="3"/>
        <v>43563</v>
      </c>
      <c r="P34">
        <f t="shared" si="4"/>
        <v>1390</v>
      </c>
      <c r="Q34">
        <f t="shared" si="5"/>
        <v>-21</v>
      </c>
    </row>
    <row r="35" spans="1:17" x14ac:dyDescent="0.3">
      <c r="A35" t="str">
        <f>Sheet4!A35</f>
        <v>7 O 8818/19</v>
      </c>
      <c r="B35" t="str">
        <f>Sheet4!B35</f>
        <v>Munich</v>
      </c>
      <c r="C35" t="str">
        <f>Sheet4!E35</f>
        <v>Yes</v>
      </c>
      <c r="D35" s="6" t="str">
        <f>Sheet4!N35</f>
        <v>10.09.2020</v>
      </c>
      <c r="E35" s="14">
        <f t="shared" si="0"/>
        <v>44084</v>
      </c>
      <c r="F35" t="str">
        <f>Sheet4!U35</f>
        <v>28.06.2019</v>
      </c>
      <c r="G35" s="15">
        <f t="shared" si="1"/>
        <v>43644</v>
      </c>
      <c r="H35" t="str">
        <f>Sheet4!AO35</f>
        <v>Yes</v>
      </c>
      <c r="I35" t="str">
        <f>Sheet4!AQ35</f>
        <v>6 Ni 2/20 (EP), 8 Ni 12/23 (EP), 4 Ni 7/22 (EP)</v>
      </c>
      <c r="J35" t="str">
        <f>Sheet4!AP35</f>
        <v>-</v>
      </c>
      <c r="K35" t="str">
        <f>Sheet4!AR35</f>
        <v>-</v>
      </c>
      <c r="L35" s="15" t="e">
        <f t="shared" si="2"/>
        <v>#VALUE!</v>
      </c>
      <c r="M35" t="str">
        <f>Sheet4!AS35</f>
        <v>10.02.2020, 09.02.2020</v>
      </c>
      <c r="N35" s="15">
        <f t="shared" si="3"/>
        <v>43871</v>
      </c>
      <c r="P35" t="e">
        <f t="shared" si="4"/>
        <v>#VALUE!</v>
      </c>
      <c r="Q35" t="e">
        <f t="shared" si="5"/>
        <v>#VALUE!</v>
      </c>
    </row>
    <row r="36" spans="1:17" x14ac:dyDescent="0.3">
      <c r="A36" t="str">
        <f>Sheet4!A36</f>
        <v>4a O 27/16</v>
      </c>
      <c r="B36" t="str">
        <f>Sheet4!B36</f>
        <v>Duesseldorf</v>
      </c>
      <c r="C36" t="str">
        <f>Sheet4!E36</f>
        <v>No</v>
      </c>
      <c r="D36" s="6" t="str">
        <f>Sheet4!N36</f>
        <v>13.07.2017</v>
      </c>
      <c r="E36" s="14">
        <f t="shared" si="0"/>
        <v>42929</v>
      </c>
      <c r="F36" t="str">
        <f>Sheet4!U36</f>
        <v>18.03.2016</v>
      </c>
      <c r="G36" s="15">
        <f t="shared" si="1"/>
        <v>42447</v>
      </c>
      <c r="H36" t="str">
        <f>Sheet4!AO36</f>
        <v>Yes</v>
      </c>
      <c r="I36" t="str">
        <f>Sheet4!AQ36</f>
        <v>6 Ni 10/15 (EP)</v>
      </c>
      <c r="J36" t="str">
        <f>Sheet4!AP36</f>
        <v>Partially invalid for Germany</v>
      </c>
      <c r="K36" t="str">
        <f>Sheet4!AR36</f>
        <v>06.10.2017</v>
      </c>
      <c r="L36" s="15">
        <f t="shared" si="2"/>
        <v>43014</v>
      </c>
      <c r="M36" t="str">
        <f>Sheet4!AS36</f>
        <v>13.03.2015</v>
      </c>
      <c r="N36" s="15">
        <f t="shared" si="3"/>
        <v>42076</v>
      </c>
      <c r="P36">
        <f t="shared" si="4"/>
        <v>938</v>
      </c>
      <c r="Q36">
        <f t="shared" si="5"/>
        <v>85</v>
      </c>
    </row>
    <row r="37" spans="1:17" x14ac:dyDescent="0.3">
      <c r="A37" t="str">
        <f>Sheet4!A37</f>
        <v>4a O 154/15</v>
      </c>
      <c r="B37" t="str">
        <f>Sheet4!B37</f>
        <v>Duesseldorf</v>
      </c>
      <c r="C37" t="str">
        <f>Sheet4!E37</f>
        <v>No</v>
      </c>
      <c r="D37" s="6" t="str">
        <f>Sheet4!N37</f>
        <v>13.07.2017</v>
      </c>
      <c r="E37" s="14">
        <f t="shared" si="0"/>
        <v>42929</v>
      </c>
      <c r="F37" t="str">
        <f>Sheet4!U37</f>
        <v>06.11.2015</v>
      </c>
      <c r="G37" s="15">
        <f t="shared" si="1"/>
        <v>42314</v>
      </c>
      <c r="H37" t="str">
        <f>Sheet4!AO37</f>
        <v>Yes</v>
      </c>
      <c r="I37" t="str">
        <f>Sheet4!AQ37</f>
        <v>6 Ni 10/15 (EP)</v>
      </c>
      <c r="J37" t="str">
        <f>Sheet4!AP37</f>
        <v>Partially invalid for Germany</v>
      </c>
      <c r="K37" t="str">
        <f>Sheet4!AR37</f>
        <v>06.10.2017</v>
      </c>
      <c r="L37" s="15">
        <f t="shared" si="2"/>
        <v>43014</v>
      </c>
      <c r="M37" t="str">
        <f>Sheet4!AS37</f>
        <v>13.03.2015</v>
      </c>
      <c r="N37" s="15">
        <f t="shared" si="3"/>
        <v>42076</v>
      </c>
      <c r="P37">
        <f t="shared" si="4"/>
        <v>938</v>
      </c>
      <c r="Q37">
        <f t="shared" si="5"/>
        <v>85</v>
      </c>
    </row>
    <row r="38" spans="1:17" x14ac:dyDescent="0.3">
      <c r="A38" s="12" t="str">
        <f>Sheet4!A38</f>
        <v>14d O 13/17</v>
      </c>
      <c r="B38" t="str">
        <f>Sheet4!B38</f>
        <v>Duesseldorf</v>
      </c>
      <c r="C38" t="str">
        <f>Sheet4!E38</f>
        <v>No</v>
      </c>
      <c r="D38" s="6" t="str">
        <f>Sheet4!N38</f>
        <v>09.11.2017</v>
      </c>
      <c r="E38" s="14">
        <f t="shared" si="0"/>
        <v>43048</v>
      </c>
      <c r="F38" t="str">
        <f>Sheet4!U38</f>
        <v>07.09.2015</v>
      </c>
      <c r="G38" s="15">
        <f t="shared" si="1"/>
        <v>42254</v>
      </c>
      <c r="H38" t="str">
        <f>Sheet4!AO38</f>
        <v>?</v>
      </c>
      <c r="I38" t="str">
        <f>Sheet4!AQ38</f>
        <v>?</v>
      </c>
      <c r="J38" t="str">
        <f>Sheet4!AP38</f>
        <v>?</v>
      </c>
      <c r="K38" t="str">
        <f>Sheet4!AR38</f>
        <v>?</v>
      </c>
      <c r="L38" s="15" t="e">
        <f t="shared" si="2"/>
        <v>#VALUE!</v>
      </c>
      <c r="M38" t="str">
        <f>Sheet4!AS38</f>
        <v>?</v>
      </c>
      <c r="N38" s="15" t="e">
        <f t="shared" si="3"/>
        <v>#VALUE!</v>
      </c>
      <c r="P38" t="e">
        <f t="shared" si="4"/>
        <v>#VALUE!</v>
      </c>
      <c r="Q38" t="e">
        <f t="shared" si="5"/>
        <v>#VALUE!</v>
      </c>
    </row>
    <row r="39" spans="1:17" x14ac:dyDescent="0.3">
      <c r="A39" s="12" t="str">
        <f>Sheet4!A39</f>
        <v>7 O 38/14</v>
      </c>
      <c r="B39" t="str">
        <f>Sheet4!B39</f>
        <v>Mannheim</v>
      </c>
      <c r="C39" t="str">
        <f>Sheet4!E39</f>
        <v>No</v>
      </c>
      <c r="D39" s="6" t="str">
        <f>Sheet4!N39</f>
        <v>26.02.2016</v>
      </c>
      <c r="E39" s="14">
        <f t="shared" si="0"/>
        <v>42426</v>
      </c>
      <c r="F39" t="str">
        <f>Sheet4!U39</f>
        <v>21.03.2014</v>
      </c>
      <c r="G39" s="15">
        <f t="shared" si="1"/>
        <v>41719</v>
      </c>
      <c r="H39" t="str">
        <f>Sheet4!AO39</f>
        <v>Yes</v>
      </c>
      <c r="I39" t="str">
        <f>Sheet4!AQ39</f>
        <v>19 W (pat) 69/13</v>
      </c>
      <c r="J39" t="str">
        <f>Sheet4!AP39</f>
        <v>Fully revoked</v>
      </c>
      <c r="K39" t="str">
        <f>Sheet4!AR39</f>
        <v>12.04.2016</v>
      </c>
      <c r="L39" s="15">
        <f t="shared" si="2"/>
        <v>42472</v>
      </c>
      <c r="M39" t="str">
        <f>Sheet4!AS39</f>
        <v>21.11.2013</v>
      </c>
      <c r="N39" s="15">
        <f t="shared" si="3"/>
        <v>41599</v>
      </c>
      <c r="P39">
        <f t="shared" si="4"/>
        <v>873</v>
      </c>
      <c r="Q39">
        <f t="shared" si="5"/>
        <v>46</v>
      </c>
    </row>
    <row r="40" spans="1:17" x14ac:dyDescent="0.3">
      <c r="A40" t="str">
        <f>Sheet4!A40</f>
        <v>7 O 24/14</v>
      </c>
      <c r="B40" t="str">
        <f>Sheet4!B40</f>
        <v>Mannheim</v>
      </c>
      <c r="C40" t="str">
        <f>Sheet4!E40</f>
        <v>Yes</v>
      </c>
      <c r="D40" s="6" t="s">
        <v>509</v>
      </c>
      <c r="E40" s="14">
        <f t="shared" si="0"/>
        <v>42433</v>
      </c>
      <c r="F40" t="str">
        <f>Sheet4!U40</f>
        <v>26.02.2014</v>
      </c>
      <c r="G40" s="15">
        <f t="shared" si="1"/>
        <v>41696</v>
      </c>
      <c r="H40" t="str">
        <f>Sheet4!AO40</f>
        <v>Yes</v>
      </c>
      <c r="I40" t="str">
        <f>Sheet4!AQ40</f>
        <v>2 Ni 5/16 (EP)</v>
      </c>
      <c r="J40" t="str">
        <f>Sheet4!AP40</f>
        <v>Invalid for Germany</v>
      </c>
      <c r="K40" t="str">
        <f>Sheet4!AR40</f>
        <v>02.02.2017</v>
      </c>
      <c r="L40" s="15">
        <f t="shared" si="2"/>
        <v>42768</v>
      </c>
      <c r="M40" t="str">
        <f>Sheet4!AS40</f>
        <v>23.07.2014</v>
      </c>
      <c r="N40" s="15">
        <f t="shared" si="3"/>
        <v>41843</v>
      </c>
      <c r="P40">
        <f t="shared" si="4"/>
        <v>925</v>
      </c>
      <c r="Q40">
        <f t="shared" si="5"/>
        <v>335</v>
      </c>
    </row>
    <row r="41" spans="1:17" x14ac:dyDescent="0.3">
      <c r="A41" t="str">
        <f>Sheet4!A41</f>
        <v>7 O 26/14</v>
      </c>
      <c r="B41" t="str">
        <f>Sheet4!B41</f>
        <v>Mannheim</v>
      </c>
      <c r="C41" t="str">
        <f>Sheet4!E41</f>
        <v>Yes</v>
      </c>
      <c r="D41" s="6" t="s">
        <v>510</v>
      </c>
      <c r="E41" s="14">
        <f t="shared" si="0"/>
        <v>42440</v>
      </c>
      <c r="F41" t="str">
        <f>Sheet4!U41</f>
        <v>01.03.2014</v>
      </c>
      <c r="G41" s="15">
        <f t="shared" si="1"/>
        <v>41699</v>
      </c>
      <c r="H41" t="str">
        <f>Sheet4!AO41</f>
        <v>Yes</v>
      </c>
      <c r="I41" t="str">
        <f>Sheet4!AQ41</f>
        <v>2 Ni 5/16 (EP)</v>
      </c>
      <c r="J41" t="str">
        <f>Sheet4!AP41</f>
        <v>Invalid for Germany</v>
      </c>
      <c r="K41" t="str">
        <f>Sheet4!AR41</f>
        <v>02.02.2017</v>
      </c>
      <c r="L41" s="15">
        <f t="shared" si="2"/>
        <v>42768</v>
      </c>
      <c r="M41" t="str">
        <f>Sheet4!AS41</f>
        <v>23.07.2014</v>
      </c>
      <c r="N41" s="15">
        <f t="shared" si="3"/>
        <v>41843</v>
      </c>
      <c r="P41">
        <f t="shared" si="4"/>
        <v>925</v>
      </c>
      <c r="Q41">
        <f t="shared" si="5"/>
        <v>328</v>
      </c>
    </row>
    <row r="42" spans="1:17" x14ac:dyDescent="0.3">
      <c r="A42" t="str">
        <f>Sheet4!A42</f>
        <v>7 O 43/16</v>
      </c>
      <c r="B42" t="str">
        <f>Sheet4!B42</f>
        <v>Mannheim</v>
      </c>
      <c r="C42" t="str">
        <f>Sheet4!E42</f>
        <v>Yes</v>
      </c>
      <c r="D42" s="6" t="str">
        <f>Sheet4!N42</f>
        <v>25.11.2016</v>
      </c>
      <c r="E42" s="14">
        <f t="shared" si="0"/>
        <v>42699</v>
      </c>
      <c r="F42" t="str">
        <f>Sheet4!U42</f>
        <v>28.02.2016</v>
      </c>
      <c r="G42" s="15">
        <f t="shared" si="1"/>
        <v>42428</v>
      </c>
      <c r="H42" t="str">
        <f>Sheet4!AO42</f>
        <v>Yes</v>
      </c>
      <c r="I42" t="str">
        <f>Sheet4!AQ42</f>
        <v>2 Ni 10/17 (EP)</v>
      </c>
      <c r="J42" t="str">
        <f>Sheet4!AP42</f>
        <v>Invalid for Germany</v>
      </c>
      <c r="K42" t="str">
        <f>Sheet4!AR42</f>
        <v>25.03.2019</v>
      </c>
      <c r="L42" s="15">
        <f t="shared" si="2"/>
        <v>43549</v>
      </c>
      <c r="M42" t="str">
        <f>Sheet4!AS42</f>
        <v>08.04.2016</v>
      </c>
      <c r="N42" s="15">
        <f t="shared" si="3"/>
        <v>42468</v>
      </c>
      <c r="P42">
        <f t="shared" si="4"/>
        <v>1081</v>
      </c>
      <c r="Q42">
        <f t="shared" si="5"/>
        <v>850</v>
      </c>
    </row>
    <row r="43" spans="1:17" x14ac:dyDescent="0.3">
      <c r="A43" t="str">
        <f>Sheet4!A43</f>
        <v>7 O 44/16</v>
      </c>
      <c r="B43" t="str">
        <f>Sheet4!B43</f>
        <v>Mannheim</v>
      </c>
      <c r="C43" t="str">
        <f>Sheet4!E43</f>
        <v>Yes</v>
      </c>
      <c r="D43" s="6" t="str">
        <f>Sheet4!N43</f>
        <v>25.11.2016</v>
      </c>
      <c r="E43" s="14">
        <f t="shared" si="0"/>
        <v>42699</v>
      </c>
      <c r="F43" t="str">
        <f>Sheet4!U43</f>
        <v>01.03.2016</v>
      </c>
      <c r="G43" s="15">
        <f t="shared" si="1"/>
        <v>42430</v>
      </c>
      <c r="H43" t="str">
        <f>Sheet4!AO43</f>
        <v>Yes</v>
      </c>
      <c r="I43" t="str">
        <f>Sheet4!AQ43</f>
        <v>5 Ni 38/16 (EP)</v>
      </c>
      <c r="J43" t="str">
        <f>Sheet4!AP43</f>
        <v>Partially invalid for Germany</v>
      </c>
      <c r="K43" t="str">
        <f>Sheet4!AR43</f>
        <v>26.06.2019</v>
      </c>
      <c r="L43" s="15">
        <f t="shared" si="2"/>
        <v>43642</v>
      </c>
      <c r="M43" t="str">
        <f>Sheet4!AS43</f>
        <v>12.05.2016</v>
      </c>
      <c r="N43" s="15">
        <f t="shared" si="3"/>
        <v>42502</v>
      </c>
      <c r="P43">
        <f t="shared" si="4"/>
        <v>1140</v>
      </c>
      <c r="Q43">
        <f t="shared" si="5"/>
        <v>943</v>
      </c>
    </row>
    <row r="44" spans="1:17" x14ac:dyDescent="0.3">
      <c r="A44" t="str">
        <f>Sheet4!A44</f>
        <v>7 O 212/15</v>
      </c>
      <c r="B44" t="str">
        <f>Sheet4!B44</f>
        <v>Mannheim</v>
      </c>
      <c r="C44" t="str">
        <f>Sheet4!E44</f>
        <v>Yes</v>
      </c>
      <c r="D44" s="6" t="str">
        <f>Sheet4!N44</f>
        <v>27.01.2017</v>
      </c>
      <c r="E44" s="14">
        <f t="shared" si="0"/>
        <v>42762</v>
      </c>
      <c r="F44" t="str">
        <f>Sheet4!U44</f>
        <v>05.11.2015</v>
      </c>
      <c r="G44" s="15">
        <f t="shared" si="1"/>
        <v>42313</v>
      </c>
      <c r="H44" t="str">
        <f>Sheet4!AO44</f>
        <v>Yes</v>
      </c>
      <c r="I44" t="str">
        <f>Sheet4!AQ44</f>
        <v>6 Ni 39/16 (EP)</v>
      </c>
      <c r="J44" t="str">
        <f>Sheet4!AP44</f>
        <v>Partially invalid for Germany</v>
      </c>
      <c r="K44" t="str">
        <f>Sheet4!AR44</f>
        <v>13.11.2018</v>
      </c>
      <c r="L44" s="15">
        <f t="shared" si="2"/>
        <v>43417</v>
      </c>
      <c r="M44" t="str">
        <f>Sheet4!AS44</f>
        <v>24.03.2016</v>
      </c>
      <c r="N44" s="15">
        <f t="shared" si="3"/>
        <v>42453</v>
      </c>
      <c r="P44">
        <f t="shared" si="4"/>
        <v>964</v>
      </c>
      <c r="Q44">
        <f t="shared" si="5"/>
        <v>655</v>
      </c>
    </row>
    <row r="45" spans="1:17" x14ac:dyDescent="0.3">
      <c r="A45" t="str">
        <f>Sheet4!A45</f>
        <v>7 O 31/16</v>
      </c>
      <c r="B45" t="str">
        <f>Sheet4!B45</f>
        <v>Mannheim</v>
      </c>
      <c r="C45" t="str">
        <f>Sheet4!E45</f>
        <v>No</v>
      </c>
      <c r="D45" s="6" t="str">
        <f>Sheet4!N45</f>
        <v>24.02.2017</v>
      </c>
      <c r="E45" s="14">
        <f t="shared" si="0"/>
        <v>42790</v>
      </c>
      <c r="F45" t="str">
        <f>Sheet4!U45</f>
        <v>08.02.2016</v>
      </c>
      <c r="G45" s="15">
        <f t="shared" si="1"/>
        <v>42408</v>
      </c>
      <c r="H45" t="str">
        <f>Sheet4!AO45</f>
        <v>Yes</v>
      </c>
      <c r="I45" t="str">
        <f>Sheet4!AQ45</f>
        <v>6 Ni 50/16 (EP)</v>
      </c>
      <c r="J45" t="str">
        <f>Sheet4!AP45</f>
        <v>Invalid for Germany</v>
      </c>
      <c r="K45" t="str">
        <f>Sheet4!AR45</f>
        <v>09.01.2020</v>
      </c>
      <c r="L45" s="15">
        <f t="shared" si="2"/>
        <v>43839</v>
      </c>
      <c r="M45" t="str">
        <f>Sheet4!AS45</f>
        <v>04.05.2016</v>
      </c>
      <c r="N45" s="15">
        <f t="shared" si="3"/>
        <v>42494</v>
      </c>
      <c r="P45">
        <f t="shared" si="4"/>
        <v>1345</v>
      </c>
      <c r="Q45">
        <f t="shared" si="5"/>
        <v>1049</v>
      </c>
    </row>
    <row r="46" spans="1:17" x14ac:dyDescent="0.3">
      <c r="A46" t="str">
        <f>Sheet4!A46</f>
        <v>2 O 98/16</v>
      </c>
      <c r="B46" t="str">
        <f>Sheet4!B46</f>
        <v>Mannheim</v>
      </c>
      <c r="C46" t="str">
        <f>Sheet4!E46</f>
        <v>No</v>
      </c>
      <c r="D46" s="6" t="str">
        <f>Sheet4!N46</f>
        <v>23.05.2017</v>
      </c>
      <c r="E46" s="14">
        <f t="shared" si="0"/>
        <v>42878</v>
      </c>
      <c r="F46">
        <f>Sheet4!U46</f>
        <v>0</v>
      </c>
      <c r="G46" s="15" t="e">
        <f t="shared" si="1"/>
        <v>#VALUE!</v>
      </c>
      <c r="H46" t="str">
        <f>Sheet4!AO46</f>
        <v>Yes</v>
      </c>
      <c r="I46" t="str">
        <f>Sheet4!AQ46</f>
        <v>6 Ni 67/16 (EP)</v>
      </c>
      <c r="J46" t="str">
        <f>Sheet4!AP46</f>
        <v>Partially invalid for Germany</v>
      </c>
      <c r="K46" t="str">
        <f>Sheet4!AR46</f>
        <v>05.12.2018</v>
      </c>
      <c r="L46" s="15">
        <f t="shared" si="2"/>
        <v>43439</v>
      </c>
      <c r="M46" t="str">
        <f>Sheet4!AS46</f>
        <v>08.09.2016</v>
      </c>
      <c r="N46" s="15">
        <f t="shared" si="3"/>
        <v>42621</v>
      </c>
      <c r="P46">
        <f t="shared" si="4"/>
        <v>818</v>
      </c>
      <c r="Q46">
        <f t="shared" si="5"/>
        <v>561</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2750-4BE9-47A1-9370-20EE94DFAE21}">
  <dimension ref="A1:Z6"/>
  <sheetViews>
    <sheetView workbookViewId="0">
      <selection activeCell="C3" sqref="C3"/>
    </sheetView>
  </sheetViews>
  <sheetFormatPr defaultRowHeight="14.4" x14ac:dyDescent="0.3"/>
  <cols>
    <col min="2" max="2" width="9.6640625" customWidth="1"/>
    <col min="3" max="3" width="21.109375" bestFit="1" customWidth="1"/>
    <col min="4" max="4" width="20" bestFit="1" customWidth="1"/>
    <col min="5" max="5" width="11.6640625" bestFit="1" customWidth="1"/>
    <col min="7" max="7" width="12.109375" bestFit="1" customWidth="1"/>
  </cols>
  <sheetData>
    <row r="1" spans="1:26" x14ac:dyDescent="0.3">
      <c r="C1" s="24" t="s">
        <v>288</v>
      </c>
      <c r="D1" s="24"/>
      <c r="J1" s="24" t="s">
        <v>287</v>
      </c>
      <c r="K1" s="24"/>
    </row>
    <row r="2" spans="1:26" x14ac:dyDescent="0.3">
      <c r="C2" t="s">
        <v>31</v>
      </c>
      <c r="D2" t="s">
        <v>247</v>
      </c>
      <c r="J2" t="s">
        <v>31</v>
      </c>
      <c r="K2" t="s">
        <v>247</v>
      </c>
    </row>
    <row r="3" spans="1:26" x14ac:dyDescent="0.3">
      <c r="A3" s="25" t="s">
        <v>497</v>
      </c>
      <c r="B3" t="s">
        <v>31</v>
      </c>
      <c r="C3">
        <f>COUNTIFS(Sheet4!$E$2:$E$46,$B3,Sheet4!$AG$2:$AG$46,C$2,Sheet4!$O$2:$O$46, "&lt;&gt;1")</f>
        <v>14</v>
      </c>
      <c r="D3">
        <f>COUNTIFS(Sheet4!$E$2:$E$46,$B3,Sheet4!$AG$2:$AG$46,D$2,Sheet4!$O$2:$O$46, "&lt;&gt;1")</f>
        <v>5</v>
      </c>
      <c r="H3" s="25" t="s">
        <v>497</v>
      </c>
      <c r="I3" t="s">
        <v>31</v>
      </c>
      <c r="J3">
        <f>COUNTIFS(Sheet4!$E$2:$E$46,$I3,Sheet4!$AF$2:$AF$46,J$2,Sheet4!$O$2:$O$46, "&lt;&gt;1")</f>
        <v>11</v>
      </c>
      <c r="K3">
        <f>COUNTIFS(Sheet4!$E$2:$E$46,$I3,Sheet4!$AF$2:$AF$46,K$2,Sheet4!$O$2:$O$46, "&lt;&gt;1")</f>
        <v>8</v>
      </c>
      <c r="Q3" s="16"/>
      <c r="Z3" s="16"/>
    </row>
    <row r="4" spans="1:26" x14ac:dyDescent="0.3">
      <c r="A4" s="25"/>
      <c r="B4" t="s">
        <v>25</v>
      </c>
      <c r="C4">
        <f>COUNTIFS(Sheet4!$E$2:$E$46,$B4,Sheet4!$AG$2:$AG$46,C$2,Sheet4!$O$2:$O$46, "&lt;&gt;1")</f>
        <v>10</v>
      </c>
      <c r="D4">
        <f>COUNTIFS(Sheet4!$E$2:$E$46,$B4,Sheet4!$AG$2:$AG$46,D$2,Sheet4!$O$2:$O$46, "&lt;&gt;1")</f>
        <v>5</v>
      </c>
      <c r="H4" s="25"/>
      <c r="I4" t="s">
        <v>25</v>
      </c>
      <c r="J4">
        <f>COUNTIFS(Sheet4!$E$2:$E$46,$I4,Sheet4!$AF$2:$AF$46,J$2,Sheet4!$O$2:$O$46, "&lt;&gt;1")</f>
        <v>0</v>
      </c>
      <c r="K4">
        <f>COUNTIFS(Sheet4!$E$2:$E$46,$I4,Sheet4!$AF$2:$AF$46,K$2,Sheet4!$O$2:$O$46, "&lt;&gt;1")</f>
        <v>15</v>
      </c>
      <c r="Q4" s="16"/>
      <c r="Z4" s="16"/>
    </row>
    <row r="5" spans="1:26" x14ac:dyDescent="0.3">
      <c r="A5" s="25"/>
      <c r="B5" t="s">
        <v>344</v>
      </c>
      <c r="C5">
        <f>COUNTIFS(Sheet4!$E$2:$E$46,$B5,Sheet4!$AG$2:$AG$46,C$2,Sheet4!$O$2:$O$46, "&lt;&gt;1")</f>
        <v>0</v>
      </c>
      <c r="D5">
        <f>COUNTIFS(Sheet4!$E$2:$E$46,$B5,Sheet4!$AG$2:$AG$46,D$2,Sheet4!$O$2:$O$46, "&lt;&gt;1")</f>
        <v>1</v>
      </c>
      <c r="H5" s="25"/>
      <c r="I5" t="s">
        <v>344</v>
      </c>
      <c r="J5">
        <f>COUNTIFS(Sheet4!$E$2:$E$46,$I5,Sheet4!$AF$2:$AF$46,J$2,Sheet4!$O$2:$O$46, "&lt;&gt;1")</f>
        <v>1</v>
      </c>
      <c r="K5">
        <f>COUNTIFS(Sheet4!$E$2:$E$46,$I5,Sheet4!$AF$2:$AF$46,K$2,Sheet4!$O$2:$O$46, "&lt;&gt;1")</f>
        <v>0</v>
      </c>
      <c r="Q5" s="16"/>
      <c r="Z5" s="16"/>
    </row>
    <row r="6" spans="1:26" x14ac:dyDescent="0.3">
      <c r="C6">
        <f>SUM(C3:C5)</f>
        <v>24</v>
      </c>
      <c r="D6">
        <f>SUM(D3:D5)</f>
        <v>11</v>
      </c>
      <c r="E6">
        <f>SUM(C6:D6)</f>
        <v>35</v>
      </c>
      <c r="J6">
        <f>SUM(J3:J5)</f>
        <v>12</v>
      </c>
      <c r="K6">
        <f>SUM(K3:K5)</f>
        <v>23</v>
      </c>
      <c r="L6">
        <f>SUM(J6:K6)</f>
        <v>35</v>
      </c>
    </row>
  </sheetData>
  <mergeCells count="4">
    <mergeCell ref="C1:D1"/>
    <mergeCell ref="A3:A5"/>
    <mergeCell ref="H3:H5"/>
    <mergeCell ref="J1:K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Old graphs</vt:lpstr>
      <vt:lpstr>Lag graphs</vt:lpstr>
      <vt:lpstr>Patent validity graphs</vt:lpstr>
      <vt:lpstr>FRAND pools and worldwide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2023-10-04T15:50:20Z</dcterms:created>
  <dcterms:modified xsi:type="dcterms:W3CDTF">2023-12-28T22:49:38Z</dcterms:modified>
</cp:coreProperties>
</file>