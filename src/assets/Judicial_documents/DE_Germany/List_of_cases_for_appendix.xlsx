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a\Dropbox\Espacio familiar\Back-end\Data library\Judicial_documents\DE_Germany\"/>
    </mc:Choice>
  </mc:AlternateContent>
  <xr:revisionPtr revIDLastSave="0" documentId="13_ncr:1_{418DA61E-CFF9-4E9D-A5B0-66E7FCC47604}" xr6:coauthVersionLast="47" xr6:coauthVersionMax="47" xr10:uidLastSave="{00000000-0000-0000-0000-000000000000}"/>
  <bookViews>
    <workbookView xWindow="14295" yWindow="0" windowWidth="14610" windowHeight="15585" xr2:uid="{FD3C5130-2E96-474A-8ADD-CA4BE788F2A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" i="1"/>
  <c r="F9" i="1"/>
  <c r="F10" i="1"/>
  <c r="F23" i="1"/>
  <c r="D23" i="1" s="1"/>
  <c r="G23" i="1" s="1"/>
  <c r="F24" i="1"/>
  <c r="D24" i="1" s="1"/>
  <c r="G24" i="1" s="1"/>
  <c r="F30" i="1"/>
  <c r="D30" i="1" s="1"/>
  <c r="G30" i="1" s="1"/>
  <c r="F31" i="1"/>
  <c r="D31" i="1" s="1"/>
  <c r="G31" i="1" s="1"/>
  <c r="F34" i="1"/>
  <c r="F42" i="1"/>
  <c r="F35" i="1"/>
  <c r="F32" i="1"/>
  <c r="F43" i="1"/>
  <c r="D43" i="1" s="1"/>
  <c r="G43" i="1" s="1"/>
  <c r="F45" i="1"/>
  <c r="D45" i="1" s="1"/>
  <c r="G45" i="1" s="1"/>
  <c r="F46" i="1"/>
  <c r="D46" i="1" s="1"/>
  <c r="G46" i="1" s="1"/>
  <c r="F47" i="1"/>
  <c r="D47" i="1" s="1"/>
  <c r="G47" i="1" s="1"/>
  <c r="F5" i="1"/>
  <c r="F6" i="1"/>
  <c r="F44" i="1"/>
  <c r="F33" i="1"/>
  <c r="F12" i="1"/>
  <c r="F13" i="1"/>
  <c r="D13" i="1" s="1"/>
  <c r="G13" i="1" s="1"/>
  <c r="F29" i="1"/>
  <c r="D29" i="1" s="1"/>
  <c r="G29" i="1" s="1"/>
  <c r="F51" i="1"/>
  <c r="D51" i="1" s="1"/>
  <c r="G51" i="1" s="1"/>
  <c r="F57" i="1"/>
  <c r="F50" i="1"/>
  <c r="F61" i="1"/>
  <c r="F64" i="1"/>
  <c r="F28" i="1"/>
  <c r="D28" i="1" s="1"/>
  <c r="G28" i="1" s="1"/>
  <c r="F4" i="1"/>
  <c r="D4" i="1" s="1"/>
  <c r="G4" i="1" s="1"/>
  <c r="F66" i="1"/>
  <c r="D66" i="1" s="1"/>
  <c r="G66" i="1" s="1"/>
  <c r="F70" i="1"/>
  <c r="D70" i="1" s="1"/>
  <c r="G70" i="1" s="1"/>
  <c r="F69" i="1"/>
  <c r="F53" i="1"/>
  <c r="F25" i="1"/>
  <c r="F26" i="1"/>
  <c r="F27" i="1"/>
  <c r="D27" i="1" s="1"/>
  <c r="G27" i="1" s="1"/>
  <c r="F8" i="1"/>
  <c r="D8" i="1" s="1"/>
  <c r="G8" i="1" s="1"/>
  <c r="F14" i="1"/>
  <c r="F15" i="1"/>
  <c r="D15" i="1" s="1"/>
  <c r="G15" i="1" s="1"/>
  <c r="F16" i="1"/>
  <c r="F17" i="1"/>
  <c r="F20" i="1"/>
  <c r="F21" i="1"/>
  <c r="F22" i="1"/>
  <c r="D22" i="1" s="1"/>
  <c r="G22" i="1" s="1"/>
  <c r="F36" i="1"/>
  <c r="D36" i="1" s="1"/>
  <c r="G36" i="1" s="1"/>
  <c r="F38" i="1"/>
  <c r="D38" i="1" s="1"/>
  <c r="G38" i="1" s="1"/>
  <c r="F39" i="1"/>
  <c r="D39" i="1" s="1"/>
  <c r="G39" i="1" s="1"/>
  <c r="F40" i="1"/>
  <c r="F41" i="1"/>
  <c r="F48" i="1"/>
  <c r="F67" i="1"/>
  <c r="F37" i="1"/>
  <c r="D37" i="1" s="1"/>
  <c r="G37" i="1" s="1"/>
  <c r="F68" i="1"/>
  <c r="D68" i="1" s="1"/>
  <c r="G68" i="1" s="1"/>
  <c r="F65" i="1"/>
  <c r="D65" i="1" s="1"/>
  <c r="G65" i="1" s="1"/>
  <c r="F62" i="1"/>
  <c r="D62" i="1" s="1"/>
  <c r="G62" i="1" s="1"/>
  <c r="F3" i="1"/>
  <c r="F11" i="1"/>
  <c r="F18" i="1"/>
  <c r="D18" i="1" s="1"/>
  <c r="G18" i="1" s="1"/>
  <c r="F19" i="1"/>
  <c r="D19" i="1" s="1"/>
  <c r="G19" i="1" s="1"/>
  <c r="F54" i="1"/>
  <c r="D54" i="1" s="1"/>
  <c r="G54" i="1" s="1"/>
  <c r="F56" i="1"/>
  <c r="D56" i="1" s="1"/>
  <c r="G56" i="1" s="1"/>
  <c r="F55" i="1"/>
  <c r="D55" i="1" s="1"/>
  <c r="G55" i="1" s="1"/>
  <c r="F63" i="1"/>
  <c r="D63" i="1" s="1"/>
  <c r="G63" i="1" s="1"/>
  <c r="F71" i="1"/>
  <c r="F72" i="1"/>
  <c r="D72" i="1" s="1"/>
  <c r="G72" i="1" s="1"/>
  <c r="F49" i="1"/>
  <c r="F58" i="1"/>
  <c r="D58" i="1" s="1"/>
  <c r="G58" i="1" s="1"/>
  <c r="F59" i="1"/>
  <c r="D59" i="1" s="1"/>
  <c r="G59" i="1" s="1"/>
  <c r="F60" i="1"/>
  <c r="D60" i="1" s="1"/>
  <c r="G60" i="1" s="1"/>
  <c r="F7" i="1"/>
  <c r="D7" i="1" s="1"/>
  <c r="G7" i="1" s="1"/>
  <c r="F52" i="1"/>
  <c r="D52" i="1" s="1"/>
  <c r="G52" i="1" s="1"/>
  <c r="E52" i="1"/>
  <c r="B52" i="1"/>
  <c r="A52" i="1"/>
  <c r="E7" i="1"/>
  <c r="B7" i="1"/>
  <c r="A7" i="1"/>
  <c r="E60" i="1"/>
  <c r="B60" i="1"/>
  <c r="A60" i="1"/>
  <c r="E59" i="1"/>
  <c r="B59" i="1"/>
  <c r="A59" i="1"/>
  <c r="E58" i="1"/>
  <c r="B58" i="1"/>
  <c r="A58" i="1"/>
  <c r="D49" i="1"/>
  <c r="G49" i="1" s="1"/>
  <c r="E49" i="1"/>
  <c r="B49" i="1"/>
  <c r="A49" i="1"/>
  <c r="E72" i="1"/>
  <c r="B72" i="1"/>
  <c r="A72" i="1"/>
  <c r="D71" i="1"/>
  <c r="G71" i="1" s="1"/>
  <c r="E71" i="1"/>
  <c r="B71" i="1"/>
  <c r="A71" i="1"/>
  <c r="E63" i="1"/>
  <c r="B63" i="1"/>
  <c r="A63" i="1"/>
  <c r="E55" i="1"/>
  <c r="B55" i="1"/>
  <c r="A55" i="1"/>
  <c r="E56" i="1"/>
  <c r="B56" i="1"/>
  <c r="A56" i="1"/>
  <c r="E54" i="1"/>
  <c r="B54" i="1"/>
  <c r="A54" i="1"/>
  <c r="E19" i="1"/>
  <c r="B19" i="1"/>
  <c r="A19" i="1"/>
  <c r="E18" i="1"/>
  <c r="B18" i="1"/>
  <c r="A18" i="1"/>
  <c r="D11" i="1"/>
  <c r="G11" i="1" s="1"/>
  <c r="E11" i="1"/>
  <c r="B11" i="1"/>
  <c r="A11" i="1"/>
  <c r="D3" i="1"/>
  <c r="G3" i="1" s="1"/>
  <c r="E3" i="1"/>
  <c r="B3" i="1"/>
  <c r="A3" i="1"/>
  <c r="E62" i="1"/>
  <c r="B62" i="1"/>
  <c r="A62" i="1"/>
  <c r="E65" i="1"/>
  <c r="B65" i="1"/>
  <c r="A65" i="1"/>
  <c r="E68" i="1"/>
  <c r="B68" i="1"/>
  <c r="A68" i="1"/>
  <c r="E37" i="1"/>
  <c r="B37" i="1"/>
  <c r="A37" i="1"/>
  <c r="D67" i="1"/>
  <c r="G67" i="1" s="1"/>
  <c r="E67" i="1"/>
  <c r="B67" i="1"/>
  <c r="A67" i="1"/>
  <c r="D48" i="1"/>
  <c r="G48" i="1" s="1"/>
  <c r="E48" i="1"/>
  <c r="B48" i="1"/>
  <c r="A48" i="1"/>
  <c r="D41" i="1"/>
  <c r="G41" i="1" s="1"/>
  <c r="E41" i="1"/>
  <c r="B41" i="1"/>
  <c r="A41" i="1"/>
  <c r="D40" i="1"/>
  <c r="G40" i="1" s="1"/>
  <c r="E40" i="1"/>
  <c r="B40" i="1"/>
  <c r="A40" i="1"/>
  <c r="E39" i="1"/>
  <c r="B39" i="1"/>
  <c r="A39" i="1"/>
  <c r="E38" i="1"/>
  <c r="B38" i="1"/>
  <c r="A38" i="1"/>
  <c r="E36" i="1"/>
  <c r="B36" i="1"/>
  <c r="A36" i="1"/>
  <c r="E22" i="1"/>
  <c r="B22" i="1"/>
  <c r="A22" i="1"/>
  <c r="D21" i="1"/>
  <c r="G21" i="1" s="1"/>
  <c r="E21" i="1"/>
  <c r="B21" i="1"/>
  <c r="A21" i="1"/>
  <c r="D20" i="1"/>
  <c r="G20" i="1" s="1"/>
  <c r="E20" i="1"/>
  <c r="B20" i="1"/>
  <c r="A20" i="1"/>
  <c r="D17" i="1"/>
  <c r="G17" i="1" s="1"/>
  <c r="E17" i="1"/>
  <c r="B17" i="1"/>
  <c r="A17" i="1"/>
  <c r="D16" i="1"/>
  <c r="G16" i="1" s="1"/>
  <c r="E16" i="1"/>
  <c r="B16" i="1"/>
  <c r="A16" i="1"/>
  <c r="E15" i="1"/>
  <c r="B15" i="1"/>
  <c r="A15" i="1"/>
  <c r="D14" i="1"/>
  <c r="G14" i="1" s="1"/>
  <c r="E14" i="1"/>
  <c r="B14" i="1"/>
  <c r="A14" i="1"/>
  <c r="E8" i="1"/>
  <c r="B8" i="1"/>
  <c r="A8" i="1"/>
  <c r="E27" i="1"/>
  <c r="B27" i="1"/>
  <c r="A27" i="1"/>
  <c r="D26" i="1"/>
  <c r="G26" i="1" s="1"/>
  <c r="E26" i="1"/>
  <c r="B26" i="1"/>
  <c r="A26" i="1"/>
  <c r="D25" i="1"/>
  <c r="G25" i="1" s="1"/>
  <c r="E25" i="1"/>
  <c r="B25" i="1"/>
  <c r="A25" i="1"/>
  <c r="D53" i="1"/>
  <c r="G53" i="1" s="1"/>
  <c r="E53" i="1"/>
  <c r="B53" i="1"/>
  <c r="A53" i="1"/>
  <c r="D69" i="1"/>
  <c r="G69" i="1" s="1"/>
  <c r="E69" i="1"/>
  <c r="B69" i="1"/>
  <c r="A69" i="1"/>
  <c r="E70" i="1"/>
  <c r="B70" i="1"/>
  <c r="A70" i="1"/>
  <c r="E66" i="1"/>
  <c r="B66" i="1"/>
  <c r="A66" i="1"/>
  <c r="E4" i="1"/>
  <c r="B4" i="1"/>
  <c r="A4" i="1"/>
  <c r="E28" i="1"/>
  <c r="B28" i="1"/>
  <c r="A28" i="1"/>
  <c r="D64" i="1"/>
  <c r="G64" i="1" s="1"/>
  <c r="E64" i="1"/>
  <c r="B64" i="1"/>
  <c r="A64" i="1"/>
  <c r="D61" i="1"/>
  <c r="G61" i="1" s="1"/>
  <c r="E61" i="1"/>
  <c r="B61" i="1"/>
  <c r="A61" i="1"/>
  <c r="D50" i="1"/>
  <c r="G50" i="1" s="1"/>
  <c r="E50" i="1"/>
  <c r="B50" i="1"/>
  <c r="A50" i="1"/>
  <c r="D57" i="1"/>
  <c r="G57" i="1" s="1"/>
  <c r="E57" i="1"/>
  <c r="B57" i="1"/>
  <c r="A57" i="1"/>
  <c r="E51" i="1"/>
  <c r="B51" i="1"/>
  <c r="A51" i="1"/>
  <c r="E29" i="1"/>
  <c r="B29" i="1"/>
  <c r="A29" i="1"/>
  <c r="E13" i="1"/>
  <c r="B13" i="1"/>
  <c r="A13" i="1"/>
  <c r="D12" i="1"/>
  <c r="G12" i="1" s="1"/>
  <c r="E12" i="1"/>
  <c r="B12" i="1"/>
  <c r="A12" i="1"/>
  <c r="D33" i="1"/>
  <c r="G33" i="1" s="1"/>
  <c r="E33" i="1"/>
  <c r="B33" i="1"/>
  <c r="A33" i="1"/>
  <c r="D44" i="1"/>
  <c r="G44" i="1" s="1"/>
  <c r="E44" i="1"/>
  <c r="B44" i="1"/>
  <c r="A44" i="1"/>
  <c r="D6" i="1"/>
  <c r="G6" i="1" s="1"/>
  <c r="E6" i="1"/>
  <c r="B6" i="1"/>
  <c r="A6" i="1"/>
  <c r="D5" i="1"/>
  <c r="G5" i="1" s="1"/>
  <c r="E5" i="1"/>
  <c r="B5" i="1"/>
  <c r="A5" i="1"/>
  <c r="E47" i="1"/>
  <c r="B47" i="1"/>
  <c r="A47" i="1"/>
  <c r="E46" i="1"/>
  <c r="B46" i="1"/>
  <c r="A46" i="1"/>
  <c r="E45" i="1"/>
  <c r="B45" i="1"/>
  <c r="A45" i="1"/>
  <c r="E43" i="1"/>
  <c r="B43" i="1"/>
  <c r="A43" i="1"/>
  <c r="D32" i="1"/>
  <c r="G32" i="1" s="1"/>
  <c r="E32" i="1"/>
  <c r="B32" i="1"/>
  <c r="A32" i="1"/>
  <c r="D35" i="1"/>
  <c r="G35" i="1" s="1"/>
  <c r="E35" i="1"/>
  <c r="B35" i="1"/>
  <c r="A35" i="1"/>
  <c r="D42" i="1"/>
  <c r="G42" i="1" s="1"/>
  <c r="E42" i="1"/>
  <c r="B42" i="1"/>
  <c r="A42" i="1"/>
  <c r="D34" i="1"/>
  <c r="G34" i="1" s="1"/>
  <c r="E34" i="1"/>
  <c r="B34" i="1"/>
  <c r="A34" i="1"/>
  <c r="E31" i="1"/>
  <c r="B31" i="1"/>
  <c r="A31" i="1"/>
  <c r="E30" i="1"/>
  <c r="B30" i="1"/>
  <c r="A30" i="1"/>
  <c r="E24" i="1"/>
  <c r="B24" i="1"/>
  <c r="A24" i="1"/>
  <c r="E23" i="1"/>
  <c r="B23" i="1"/>
  <c r="A23" i="1"/>
  <c r="D10" i="1"/>
  <c r="G10" i="1" s="1"/>
  <c r="E10" i="1"/>
  <c r="B10" i="1"/>
  <c r="A10" i="1"/>
  <c r="D9" i="1"/>
  <c r="G9" i="1" s="1"/>
  <c r="E9" i="1"/>
  <c r="B9" i="1"/>
  <c r="A9" i="1"/>
  <c r="D2" i="1"/>
  <c r="G2" i="1" s="1"/>
  <c r="E2" i="1"/>
  <c r="B2" i="1"/>
  <c r="A2" i="1"/>
</calcChain>
</file>

<file path=xl/sharedStrings.xml><?xml version="1.0" encoding="utf-8"?>
<sst xmlns="http://schemas.openxmlformats.org/spreadsheetml/2006/main" count="77" uniqueCount="9">
  <si>
    <t>Year</t>
  </si>
  <si>
    <t>Case reference</t>
  </si>
  <si>
    <t>Regional court</t>
  </si>
  <si>
    <t>Source</t>
  </si>
  <si>
    <t>Injunction issued</t>
  </si>
  <si>
    <t>Date of decision</t>
  </si>
  <si>
    <t>Court online database</t>
  </si>
  <si>
    <t>darts-ip</t>
  </si>
  <si>
    <t>Kather Augenstein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</si>
</sst>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rga\Dropbox\Espacio%20familiar\Back-end\Data%20library\Judicial_documents\DE_Germany\Aktenzeichen_2.xlsx" TargetMode="External"/><Relationship Id="rId1" Type="http://schemas.openxmlformats.org/officeDocument/2006/relationships/externalLinkPath" Target="Aktenzeichen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Old graphs"/>
      <sheetName val="Lag graphs"/>
      <sheetName val="Patent validity graphs"/>
      <sheetName val="FRAND pools and worldwide"/>
      <sheetName val="FromPython"/>
      <sheetName val="Fights"/>
    </sheetNames>
    <sheetDataSet>
      <sheetData sheetId="0"/>
      <sheetData sheetId="1"/>
      <sheetData sheetId="2"/>
      <sheetData sheetId="3">
        <row r="1">
          <cell r="N1" t="str">
            <v>Urteil</v>
          </cell>
        </row>
        <row r="2">
          <cell r="A2" t="str">
            <v>4a O 144/14</v>
          </cell>
          <cell r="B2" t="str">
            <v>Duesseldorf</v>
          </cell>
          <cell r="E2" t="str">
            <v>Yes</v>
          </cell>
          <cell r="N2" t="str">
            <v>03.11.2015</v>
          </cell>
        </row>
        <row r="3">
          <cell r="A3" t="str">
            <v>4a O 126/14</v>
          </cell>
          <cell r="B3" t="str">
            <v>Duesseldorf</v>
          </cell>
          <cell r="E3" t="str">
            <v>Yes</v>
          </cell>
          <cell r="N3" t="str">
            <v>31.03.2016</v>
          </cell>
        </row>
        <row r="4">
          <cell r="A4" t="str">
            <v>4a O 73/14</v>
          </cell>
          <cell r="B4" t="str">
            <v>Duesseldorf</v>
          </cell>
          <cell r="E4" t="str">
            <v>Yes</v>
          </cell>
          <cell r="N4" t="str">
            <v>31.03.2016</v>
          </cell>
        </row>
        <row r="5">
          <cell r="A5" t="str">
            <v>4a O 16/16</v>
          </cell>
          <cell r="B5" t="str">
            <v>Duesseldorf</v>
          </cell>
          <cell r="E5" t="str">
            <v>No</v>
          </cell>
          <cell r="N5" t="str">
            <v>13.07.2017</v>
          </cell>
        </row>
        <row r="6">
          <cell r="A6" t="str">
            <v>4a O 35/16</v>
          </cell>
          <cell r="B6" t="str">
            <v>Duesseldorf</v>
          </cell>
          <cell r="E6" t="str">
            <v>No</v>
          </cell>
          <cell r="N6" t="str">
            <v>13.07.2017</v>
          </cell>
        </row>
        <row r="7">
          <cell r="A7" t="str">
            <v>4c O 72/17</v>
          </cell>
          <cell r="B7" t="str">
            <v>Duesseldorf</v>
          </cell>
          <cell r="E7" t="str">
            <v>No</v>
          </cell>
          <cell r="N7" t="str">
            <v>11.07.2018</v>
          </cell>
        </row>
        <row r="8">
          <cell r="A8" t="str">
            <v>4c O 77/17</v>
          </cell>
          <cell r="B8" t="str">
            <v>Duesseldorf</v>
          </cell>
          <cell r="E8" t="str">
            <v>No</v>
          </cell>
          <cell r="N8" t="str">
            <v>11.07.2018</v>
          </cell>
        </row>
        <row r="9">
          <cell r="A9" t="str">
            <v>4a O 15/17</v>
          </cell>
          <cell r="B9" t="str">
            <v>Duesseldorf</v>
          </cell>
          <cell r="E9" t="str">
            <v>Yes</v>
          </cell>
          <cell r="N9" t="str">
            <v>09.11.2018</v>
          </cell>
        </row>
        <row r="10">
          <cell r="A10" t="str">
            <v>4c O 3/17</v>
          </cell>
          <cell r="B10" t="str">
            <v>Duesseldorf</v>
          </cell>
          <cell r="E10" t="str">
            <v>Yes</v>
          </cell>
          <cell r="N10" t="str">
            <v>21.12.2018</v>
          </cell>
        </row>
        <row r="11">
          <cell r="A11" t="str">
            <v>4a O 17/17</v>
          </cell>
          <cell r="B11" t="str">
            <v>Duesseldorf</v>
          </cell>
          <cell r="E11" t="str">
            <v>Yes</v>
          </cell>
          <cell r="N11" t="str">
            <v>09.11.2018</v>
          </cell>
        </row>
        <row r="12">
          <cell r="A12" t="str">
            <v>4c O 81/17</v>
          </cell>
          <cell r="B12" t="str">
            <v>Duesseldorf</v>
          </cell>
          <cell r="E12" t="str">
            <v>No</v>
          </cell>
          <cell r="N12" t="str">
            <v>11.07.2018</v>
          </cell>
        </row>
        <row r="13">
          <cell r="A13" t="str">
            <v>4c O 12/17</v>
          </cell>
          <cell r="B13" t="str">
            <v>Duesseldorf</v>
          </cell>
          <cell r="E13" t="str">
            <v>Yes</v>
          </cell>
          <cell r="N13" t="str">
            <v>08.01.2019</v>
          </cell>
        </row>
        <row r="14">
          <cell r="A14" t="str">
            <v>4c O 44/18</v>
          </cell>
          <cell r="B14" t="str">
            <v>Duesseldorf</v>
          </cell>
          <cell r="E14" t="str">
            <v>Yes</v>
          </cell>
          <cell r="N14" t="str">
            <v>07.05.2020</v>
          </cell>
        </row>
        <row r="15">
          <cell r="A15" t="str">
            <v>4c O 56/18</v>
          </cell>
          <cell r="B15" t="str">
            <v>Duesseldorf</v>
          </cell>
          <cell r="E15" t="str">
            <v>Yes</v>
          </cell>
          <cell r="N15" t="str">
            <v>07.05.2020</v>
          </cell>
        </row>
        <row r="16">
          <cell r="A16" t="str">
            <v>4c O 69/18</v>
          </cell>
          <cell r="B16" t="str">
            <v>Duesseldorf</v>
          </cell>
          <cell r="E16" t="str">
            <v>Yes</v>
          </cell>
          <cell r="N16" t="str">
            <v>07.05.2020</v>
          </cell>
        </row>
        <row r="17">
          <cell r="A17" t="str">
            <v>7 O 96/14</v>
          </cell>
          <cell r="B17" t="str">
            <v>Mannheim</v>
          </cell>
          <cell r="E17" t="str">
            <v>Yes</v>
          </cell>
          <cell r="N17" t="str">
            <v>08.01.2016</v>
          </cell>
        </row>
        <row r="18">
          <cell r="A18" t="str">
            <v>7 O 66/15</v>
          </cell>
          <cell r="B18" t="str">
            <v>Mannheim</v>
          </cell>
          <cell r="E18" t="str">
            <v>Yes</v>
          </cell>
          <cell r="N18" t="str">
            <v>29.01.2016</v>
          </cell>
        </row>
        <row r="19">
          <cell r="A19" t="str">
            <v>7 O 115/16</v>
          </cell>
          <cell r="B19" t="str">
            <v>Mannheim</v>
          </cell>
          <cell r="E19" t="str">
            <v>Yes</v>
          </cell>
          <cell r="N19" t="str">
            <v>04.09.2019</v>
          </cell>
        </row>
        <row r="20">
          <cell r="A20" t="str">
            <v>7 O 165/16</v>
          </cell>
          <cell r="B20" t="str">
            <v>Mannheim</v>
          </cell>
          <cell r="E20" t="str">
            <v>No</v>
          </cell>
          <cell r="N20" t="str">
            <v>13.07.2018</v>
          </cell>
        </row>
        <row r="21">
          <cell r="A21" t="str">
            <v>7 O 19/16</v>
          </cell>
          <cell r="B21" t="str">
            <v>Mannheim</v>
          </cell>
          <cell r="E21" t="str">
            <v>No</v>
          </cell>
          <cell r="N21" t="str">
            <v>17.11.2016</v>
          </cell>
        </row>
        <row r="22">
          <cell r="A22" t="str">
            <v>7 O 209/15</v>
          </cell>
          <cell r="B22" t="str">
            <v>Mannheim</v>
          </cell>
          <cell r="E22" t="str">
            <v>No</v>
          </cell>
          <cell r="N22" t="str">
            <v>17.11.2016</v>
          </cell>
        </row>
        <row r="23">
          <cell r="A23" t="str">
            <v>7 O 18/17</v>
          </cell>
          <cell r="B23" t="str">
            <v>Mannheim</v>
          </cell>
          <cell r="E23" t="str">
            <v>No</v>
          </cell>
          <cell r="N23" t="str">
            <v>02.03.2018</v>
          </cell>
        </row>
        <row r="24">
          <cell r="A24" t="str">
            <v>2 O 136/18</v>
          </cell>
          <cell r="B24" t="str">
            <v>Mannheim</v>
          </cell>
          <cell r="E24" t="str">
            <v>No</v>
          </cell>
          <cell r="N24" t="str">
            <v>21.08.2020</v>
          </cell>
        </row>
        <row r="25">
          <cell r="A25" t="str">
            <v>2 O 131/19</v>
          </cell>
          <cell r="B25" t="str">
            <v>Mannheim</v>
          </cell>
          <cell r="E25" t="str">
            <v>Yes</v>
          </cell>
          <cell r="N25" t="str">
            <v>02.03.2021</v>
          </cell>
        </row>
        <row r="26">
          <cell r="A26" t="str">
            <v>2 O 34/19</v>
          </cell>
          <cell r="B26" t="str">
            <v>Mannheim</v>
          </cell>
          <cell r="E26" t="str">
            <v>Yes</v>
          </cell>
          <cell r="N26" t="str">
            <v>18.08.2020</v>
          </cell>
        </row>
        <row r="27">
          <cell r="A27" t="str">
            <v>7 O 15350/19</v>
          </cell>
          <cell r="B27" t="str">
            <v>Munich</v>
          </cell>
          <cell r="E27" t="str">
            <v>Yes</v>
          </cell>
          <cell r="N27" t="str">
            <v>19.08.2021</v>
          </cell>
        </row>
        <row r="28">
          <cell r="A28" t="str">
            <v>2 O 75/21</v>
          </cell>
          <cell r="B28" t="str">
            <v>Mannheim</v>
          </cell>
          <cell r="E28" t="str">
            <v>Yes</v>
          </cell>
          <cell r="N28" t="str">
            <v>05.07.2022</v>
          </cell>
        </row>
        <row r="29">
          <cell r="A29" t="str">
            <v>7 O 28/16</v>
          </cell>
          <cell r="B29" t="str">
            <v>Mannheim</v>
          </cell>
          <cell r="E29" t="str">
            <v>No</v>
          </cell>
          <cell r="N29" t="str">
            <v>10.11.2017</v>
          </cell>
        </row>
        <row r="30">
          <cell r="A30" t="str">
            <v>2 O 106/14</v>
          </cell>
          <cell r="B30" t="str">
            <v>Mannheim</v>
          </cell>
          <cell r="E30" t="str">
            <v>Yes</v>
          </cell>
          <cell r="N30" t="str">
            <v>27.11.2015</v>
          </cell>
        </row>
        <row r="31">
          <cell r="A31" t="str">
            <v>21 O 11522/21</v>
          </cell>
          <cell r="B31" t="str">
            <v>Munich</v>
          </cell>
          <cell r="E31" t="str">
            <v>Yes</v>
          </cell>
          <cell r="N31" t="str">
            <v>05.08.2022</v>
          </cell>
        </row>
        <row r="32">
          <cell r="A32" t="str">
            <v>21 O 1910/22</v>
          </cell>
          <cell r="B32" t="str">
            <v>Munich</v>
          </cell>
          <cell r="E32" t="str">
            <v>Yes</v>
          </cell>
          <cell r="N32" t="str">
            <v>19.04.2023</v>
          </cell>
        </row>
        <row r="33">
          <cell r="A33" t="str">
            <v>21 O 4140/21</v>
          </cell>
          <cell r="B33" t="str">
            <v>Munich</v>
          </cell>
          <cell r="E33" t="str">
            <v>Yes</v>
          </cell>
          <cell r="N33" t="str">
            <v>17.02.2023</v>
          </cell>
        </row>
        <row r="34">
          <cell r="A34" t="str">
            <v>7 O 8818/19</v>
          </cell>
          <cell r="B34" t="str">
            <v>Munich</v>
          </cell>
          <cell r="E34" t="str">
            <v>Yes</v>
          </cell>
          <cell r="N34" t="str">
            <v>10.09.2020</v>
          </cell>
        </row>
        <row r="35">
          <cell r="A35" t="str">
            <v>4a O 27/16</v>
          </cell>
          <cell r="B35" t="str">
            <v>Duesseldorf</v>
          </cell>
          <cell r="E35" t="str">
            <v>No</v>
          </cell>
          <cell r="N35" t="str">
            <v>13.07.2017</v>
          </cell>
        </row>
        <row r="36">
          <cell r="A36" t="str">
            <v>4a O 154/15</v>
          </cell>
          <cell r="B36" t="str">
            <v>Duesseldorf</v>
          </cell>
          <cell r="E36" t="str">
            <v>No</v>
          </cell>
          <cell r="N36" t="str">
            <v>13.07.2017</v>
          </cell>
        </row>
        <row r="37">
          <cell r="A37" t="str">
            <v>14d O 13/17</v>
          </cell>
          <cell r="B37" t="str">
            <v>Duesseldorf</v>
          </cell>
          <cell r="E37" t="str">
            <v>No</v>
          </cell>
          <cell r="N37" t="str">
            <v>09.11.2017</v>
          </cell>
        </row>
        <row r="38">
          <cell r="A38" t="str">
            <v>7 O 38/14</v>
          </cell>
          <cell r="B38" t="str">
            <v>Mannheim</v>
          </cell>
          <cell r="E38" t="str">
            <v>No</v>
          </cell>
          <cell r="N38" t="str">
            <v>26.02.2016</v>
          </cell>
        </row>
        <row r="39">
          <cell r="A39" t="str">
            <v>7 O 24/14</v>
          </cell>
          <cell r="B39" t="str">
            <v>Mannheim</v>
          </cell>
          <cell r="E39" t="str">
            <v>Yes</v>
          </cell>
          <cell r="N39" t="str">
            <v>21.11.2014/04.03.2016</v>
          </cell>
        </row>
        <row r="40">
          <cell r="A40" t="str">
            <v>7 O 26/14</v>
          </cell>
          <cell r="B40" t="str">
            <v>Mannheim</v>
          </cell>
          <cell r="E40" t="str">
            <v>Yes</v>
          </cell>
          <cell r="N40" t="str">
            <v>21.11.2014/11.03.2016</v>
          </cell>
        </row>
        <row r="41">
          <cell r="A41" t="str">
            <v>7 O 43/16</v>
          </cell>
          <cell r="B41" t="str">
            <v>Mannheim</v>
          </cell>
          <cell r="E41" t="str">
            <v>Yes</v>
          </cell>
          <cell r="N41" t="str">
            <v>25.11.2016</v>
          </cell>
        </row>
        <row r="42">
          <cell r="A42" t="str">
            <v>7 O 44/16</v>
          </cell>
          <cell r="B42" t="str">
            <v>Mannheim</v>
          </cell>
          <cell r="E42" t="str">
            <v>Yes</v>
          </cell>
          <cell r="N42" t="str">
            <v>25.11.2016</v>
          </cell>
        </row>
        <row r="43">
          <cell r="A43" t="str">
            <v>7 O 212/15</v>
          </cell>
          <cell r="B43" t="str">
            <v>Mannheim</v>
          </cell>
          <cell r="E43" t="str">
            <v>Yes</v>
          </cell>
          <cell r="N43" t="str">
            <v>27.01.2017</v>
          </cell>
        </row>
        <row r="44">
          <cell r="A44" t="str">
            <v>7 O 31/16</v>
          </cell>
          <cell r="B44" t="str">
            <v>Mannheim</v>
          </cell>
          <cell r="E44" t="str">
            <v>No</v>
          </cell>
          <cell r="N44" t="str">
            <v>24.02.2017</v>
          </cell>
        </row>
        <row r="45">
          <cell r="A45" t="str">
            <v>2 O 98/16</v>
          </cell>
          <cell r="B45" t="str">
            <v>Mannheim</v>
          </cell>
          <cell r="E45" t="str">
            <v>No</v>
          </cell>
          <cell r="N45" t="str">
            <v>23.05.2017</v>
          </cell>
        </row>
        <row r="46">
          <cell r="A46" t="str">
            <v>4a O 63/17</v>
          </cell>
          <cell r="B46" t="str">
            <v>Duesseldorf</v>
          </cell>
          <cell r="E46" t="str">
            <v>Yes</v>
          </cell>
          <cell r="N46" t="str">
            <v>09.11.2018</v>
          </cell>
        </row>
        <row r="47">
          <cell r="A47" t="str">
            <v>4b O 4/17</v>
          </cell>
          <cell r="B47" t="str">
            <v>Duesseldorf</v>
          </cell>
          <cell r="E47" t="str">
            <v>Yes</v>
          </cell>
          <cell r="N47" t="str">
            <v>12.12.2018</v>
          </cell>
        </row>
        <row r="48">
          <cell r="A48" t="str">
            <v>4b O 5/17</v>
          </cell>
          <cell r="B48" t="str">
            <v>Duesseldorf</v>
          </cell>
          <cell r="E48" t="str">
            <v>Yes</v>
          </cell>
          <cell r="N48" t="str">
            <v>12.12.2018</v>
          </cell>
        </row>
        <row r="49">
          <cell r="A49" t="str">
            <v>4b O 15/17</v>
          </cell>
          <cell r="B49" t="str">
            <v>Duesseldorf</v>
          </cell>
          <cell r="E49" t="str">
            <v>Yes</v>
          </cell>
          <cell r="N49" t="str">
            <v>12.12.2018</v>
          </cell>
        </row>
        <row r="50">
          <cell r="A50" t="str">
            <v>4b O 16/17</v>
          </cell>
          <cell r="B50" t="str">
            <v>Duesseldorf</v>
          </cell>
          <cell r="E50" t="str">
            <v>Yes</v>
          </cell>
          <cell r="N50" t="str">
            <v>12.12.2018</v>
          </cell>
        </row>
        <row r="51">
          <cell r="A51" t="str">
            <v>4b O 30/18</v>
          </cell>
          <cell r="B51" t="str">
            <v>Duesseldorf</v>
          </cell>
          <cell r="E51" t="str">
            <v>Yes</v>
          </cell>
          <cell r="N51" t="str">
            <v>18.06.2020</v>
          </cell>
        </row>
        <row r="52">
          <cell r="A52" t="str">
            <v>21 O 8879/21</v>
          </cell>
          <cell r="B52" t="str">
            <v>Munich</v>
          </cell>
          <cell r="E52" t="str">
            <v>Yes</v>
          </cell>
          <cell r="N52" t="str">
            <v>05.08.2022</v>
          </cell>
        </row>
        <row r="53">
          <cell r="A53" t="str">
            <v>4a O 16/17</v>
          </cell>
          <cell r="B53" t="str">
            <v>Duesseldorf</v>
          </cell>
          <cell r="E53" t="str">
            <v>Yes</v>
          </cell>
          <cell r="N53" t="str">
            <v>09.11.2018</v>
          </cell>
        </row>
        <row r="54">
          <cell r="A54" t="str">
            <v>21 O 8890/21</v>
          </cell>
          <cell r="B54" t="str">
            <v>Munich</v>
          </cell>
          <cell r="E54" t="str">
            <v>Yes</v>
          </cell>
          <cell r="N54" t="str">
            <v>05.08.2022</v>
          </cell>
        </row>
        <row r="55">
          <cell r="A55" t="str">
            <v>21 O 8891/21</v>
          </cell>
          <cell r="B55" t="str">
            <v>Munich</v>
          </cell>
          <cell r="E55" t="str">
            <v>Yes</v>
          </cell>
          <cell r="N55" t="str">
            <v>03.08.2022</v>
          </cell>
        </row>
        <row r="56">
          <cell r="A56" t="str">
            <v>4c O 42/20</v>
          </cell>
          <cell r="B56" t="str">
            <v>Duesseldorf</v>
          </cell>
          <cell r="E56" t="str">
            <v>No</v>
          </cell>
          <cell r="N56" t="str">
            <v>21.12.2021</v>
          </cell>
        </row>
        <row r="57">
          <cell r="A57" t="str">
            <v>4a O 93/14</v>
          </cell>
          <cell r="B57" t="str">
            <v>Duesseldorf</v>
          </cell>
          <cell r="E57" t="str">
            <v>Yes</v>
          </cell>
          <cell r="N57" t="str">
            <v>03.11.2015</v>
          </cell>
        </row>
        <row r="58">
          <cell r="A58" t="str">
            <v>7 O 238/15</v>
          </cell>
          <cell r="B58" t="str">
            <v>Mannheim</v>
          </cell>
          <cell r="E58" t="str">
            <v>No</v>
          </cell>
          <cell r="N58" t="str">
            <v>19.08.2016</v>
          </cell>
        </row>
        <row r="59">
          <cell r="A59" t="str">
            <v>7 O 29/16</v>
          </cell>
          <cell r="B59" t="str">
            <v>Mannheim</v>
          </cell>
          <cell r="E59" t="str">
            <v>No</v>
          </cell>
          <cell r="N59" t="str">
            <v>16.12.2016</v>
          </cell>
        </row>
        <row r="60">
          <cell r="A60" t="str">
            <v>7 O 32/16</v>
          </cell>
          <cell r="B60" t="str">
            <v>Mannheim</v>
          </cell>
          <cell r="E60" t="str">
            <v>No</v>
          </cell>
          <cell r="N60" t="str">
            <v>16.12.2016</v>
          </cell>
        </row>
        <row r="61">
          <cell r="A61" t="str">
            <v>21 O 3891/19</v>
          </cell>
          <cell r="B61" t="str">
            <v>Munich</v>
          </cell>
          <cell r="E61" t="str">
            <v>Yes</v>
          </cell>
          <cell r="N61" t="str">
            <v>30.09.2020</v>
          </cell>
        </row>
        <row r="62">
          <cell r="A62" t="str">
            <v>21 O 11384/19</v>
          </cell>
          <cell r="B62" t="str">
            <v>Munich</v>
          </cell>
          <cell r="E62" t="str">
            <v>Yes</v>
          </cell>
          <cell r="N62" t="str">
            <v>23.10.2020</v>
          </cell>
        </row>
        <row r="63">
          <cell r="A63" t="str">
            <v>21 O 13026/19</v>
          </cell>
          <cell r="B63" t="str">
            <v>Munich</v>
          </cell>
          <cell r="E63" t="str">
            <v>Yes</v>
          </cell>
          <cell r="N63" t="str">
            <v>30.09.2020</v>
          </cell>
        </row>
        <row r="64">
          <cell r="A64" t="str">
            <v>7 O 14091/19</v>
          </cell>
          <cell r="B64" t="str">
            <v>Munich</v>
          </cell>
          <cell r="E64" t="str">
            <v>Yes</v>
          </cell>
          <cell r="N64" t="str">
            <v>25.05.2022</v>
          </cell>
        </row>
        <row r="65">
          <cell r="A65" t="str">
            <v>21 O 1890/22</v>
          </cell>
          <cell r="B65" t="str">
            <v>Munich</v>
          </cell>
          <cell r="E65" t="str">
            <v>Yes</v>
          </cell>
          <cell r="N65" t="str">
            <v>19.04.2023</v>
          </cell>
        </row>
        <row r="66">
          <cell r="A66" t="str">
            <v>21 O 5693/22</v>
          </cell>
          <cell r="B66" t="str">
            <v>Munich</v>
          </cell>
          <cell r="E66" t="str">
            <v>Yes</v>
          </cell>
          <cell r="N66" t="str">
            <v>02.08.2023</v>
          </cell>
        </row>
        <row r="67">
          <cell r="A67" t="str">
            <v>4b O 91/18</v>
          </cell>
          <cell r="B67" t="str">
            <v>Duesseldorf</v>
          </cell>
          <cell r="E67" t="str">
            <v>No</v>
          </cell>
          <cell r="N67" t="str">
            <v>18.06.2020</v>
          </cell>
        </row>
        <row r="68">
          <cell r="A68" t="str">
            <v>4b O 23/20</v>
          </cell>
          <cell r="B68" t="str">
            <v>Duesseldorf</v>
          </cell>
          <cell r="E68" t="str">
            <v>Yes</v>
          </cell>
          <cell r="N68" t="str">
            <v>11.05.2021</v>
          </cell>
        </row>
        <row r="69">
          <cell r="A69" t="str">
            <v>4b O 49/20</v>
          </cell>
          <cell r="B69" t="str">
            <v>Duesseldorf</v>
          </cell>
          <cell r="E69" t="str">
            <v>Yes</v>
          </cell>
          <cell r="N69" t="str">
            <v>11.05.2021</v>
          </cell>
        </row>
        <row r="70">
          <cell r="A70" t="str">
            <v>4b O 83/19</v>
          </cell>
          <cell r="B70" t="str">
            <v>Duesseldorf</v>
          </cell>
          <cell r="E70" t="str">
            <v>Yes</v>
          </cell>
          <cell r="N70" t="str">
            <v>11.05.2021</v>
          </cell>
        </row>
        <row r="71">
          <cell r="A71" t="str">
            <v>7 O 97/14</v>
          </cell>
          <cell r="B71" t="str">
            <v>Mannheim</v>
          </cell>
          <cell r="E71" t="str">
            <v>Yes</v>
          </cell>
          <cell r="N71" t="str">
            <v>02.02.2016</v>
          </cell>
        </row>
        <row r="72">
          <cell r="A72" t="str">
            <v>4b O 6/19</v>
          </cell>
          <cell r="B72" t="str">
            <v>Duesseldorf</v>
          </cell>
          <cell r="E72" t="str">
            <v>No</v>
          </cell>
          <cell r="N72" t="str">
            <v>27.08.2020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30C4-BFAA-4C60-B166-1870B509DB9C}">
  <dimension ref="A1:G72"/>
  <sheetViews>
    <sheetView tabSelected="1" topLeftCell="A40" workbookViewId="0">
      <selection activeCell="C16" sqref="C1:C1048576"/>
    </sheetView>
  </sheetViews>
  <sheetFormatPr defaultRowHeight="15" x14ac:dyDescent="0.25"/>
  <cols>
    <col min="1" max="1" width="15" bestFit="1" customWidth="1"/>
    <col min="2" max="2" width="14.140625" bestFit="1" customWidth="1"/>
    <col min="4" max="4" width="15.85546875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  <c r="F1" t="str">
        <f>[1]Sheet4!N1</f>
        <v>Urteil</v>
      </c>
      <c r="G1" t="s">
        <v>0</v>
      </c>
    </row>
    <row r="2" spans="1:7" x14ac:dyDescent="0.25">
      <c r="A2" t="str">
        <f>[1]Sheet4!A2</f>
        <v>4a O 144/14</v>
      </c>
      <c r="B2" t="str">
        <f>[1]Sheet4!B2</f>
        <v>Duesseldorf</v>
      </c>
      <c r="C2" t="s">
        <v>6</v>
      </c>
      <c r="D2" s="2">
        <f>DATE(VALUE(RIGHT(F2,4)), VALUE(MID(F2,4,2)), VALUE(LEFT(F2,2)))</f>
        <v>42311</v>
      </c>
      <c r="E2" t="str">
        <f>[1]Sheet4!E2</f>
        <v>Yes</v>
      </c>
      <c r="F2" t="str">
        <f>[1]Sheet4!N2</f>
        <v>03.11.2015</v>
      </c>
      <c r="G2">
        <f>YEAR(D2)</f>
        <v>2015</v>
      </c>
    </row>
    <row r="3" spans="1:7" x14ac:dyDescent="0.25">
      <c r="A3" t="str">
        <f>[1]Sheet4!A57</f>
        <v>4a O 93/14</v>
      </c>
      <c r="B3" t="str">
        <f>[1]Sheet4!B57</f>
        <v>Duesseldorf</v>
      </c>
      <c r="C3" t="s">
        <v>6</v>
      </c>
      <c r="D3" s="2">
        <f>DATE(VALUE(RIGHT(F3,4)), VALUE(MID(F3,4,2)), VALUE(LEFT(F3,2)))</f>
        <v>42311</v>
      </c>
      <c r="E3" t="str">
        <f>[1]Sheet4!E57</f>
        <v>Yes</v>
      </c>
      <c r="F3" t="str">
        <f>[1]Sheet4!N57</f>
        <v>03.11.2015</v>
      </c>
      <c r="G3">
        <f>YEAR(D3)</f>
        <v>2015</v>
      </c>
    </row>
    <row r="4" spans="1:7" x14ac:dyDescent="0.25">
      <c r="A4" t="str">
        <f>[1]Sheet4!A30</f>
        <v>2 O 106/14</v>
      </c>
      <c r="B4" t="str">
        <f>[1]Sheet4!B30</f>
        <v>Mannheim</v>
      </c>
      <c r="C4" t="s">
        <v>6</v>
      </c>
      <c r="D4" s="2">
        <f>DATE(VALUE(RIGHT(F4,4)), VALUE(MID(F4,4,2)), VALUE(LEFT(F4,2)))</f>
        <v>42335</v>
      </c>
      <c r="E4" t="str">
        <f>[1]Sheet4!E30</f>
        <v>Yes</v>
      </c>
      <c r="F4" t="str">
        <f>[1]Sheet4!N30</f>
        <v>27.11.2015</v>
      </c>
      <c r="G4">
        <f>YEAR(D4)</f>
        <v>2015</v>
      </c>
    </row>
    <row r="5" spans="1:7" x14ac:dyDescent="0.25">
      <c r="A5" t="str">
        <f>[1]Sheet4!A17</f>
        <v>7 O 96/14</v>
      </c>
      <c r="B5" t="str">
        <f>[1]Sheet4!B17</f>
        <v>Mannheim</v>
      </c>
      <c r="C5" t="s">
        <v>6</v>
      </c>
      <c r="D5" s="2">
        <f>DATE(VALUE(RIGHT(F5,4)), VALUE(MID(F5,4,2)), VALUE(LEFT(F5,2)))</f>
        <v>42377</v>
      </c>
      <c r="E5" t="str">
        <f>[1]Sheet4!E17</f>
        <v>Yes</v>
      </c>
      <c r="F5" t="str">
        <f>[1]Sheet4!N17</f>
        <v>08.01.2016</v>
      </c>
      <c r="G5">
        <f>YEAR(D5)</f>
        <v>2016</v>
      </c>
    </row>
    <row r="6" spans="1:7" x14ac:dyDescent="0.25">
      <c r="A6" t="str">
        <f>[1]Sheet4!A18</f>
        <v>7 O 66/15</v>
      </c>
      <c r="B6" t="str">
        <f>[1]Sheet4!B18</f>
        <v>Mannheim</v>
      </c>
      <c r="C6" t="s">
        <v>6</v>
      </c>
      <c r="D6" s="2">
        <f>DATE(VALUE(RIGHT(F6,4)), VALUE(MID(F6,4,2)), VALUE(LEFT(F6,2)))</f>
        <v>42398</v>
      </c>
      <c r="E6" t="str">
        <f>[1]Sheet4!E18</f>
        <v>Yes</v>
      </c>
      <c r="F6" t="str">
        <f>[1]Sheet4!N18</f>
        <v>29.01.2016</v>
      </c>
      <c r="G6">
        <f>YEAR(D6)</f>
        <v>2016</v>
      </c>
    </row>
    <row r="7" spans="1:7" x14ac:dyDescent="0.25">
      <c r="A7" t="str">
        <f>[1]Sheet4!A71</f>
        <v>7 O 97/14</v>
      </c>
      <c r="B7" t="str">
        <f>[1]Sheet4!B71</f>
        <v>Mannheim</v>
      </c>
      <c r="C7" t="s">
        <v>7</v>
      </c>
      <c r="D7" s="2">
        <f>DATE(VALUE(RIGHT(F7,4)), VALUE(MID(F7,4,2)), VALUE(LEFT(F7,2)))</f>
        <v>42402</v>
      </c>
      <c r="E7" t="str">
        <f>[1]Sheet4!E71</f>
        <v>Yes</v>
      </c>
      <c r="F7" t="str">
        <f>[1]Sheet4!N71</f>
        <v>02.02.2016</v>
      </c>
      <c r="G7">
        <f>YEAR(D7)</f>
        <v>2016</v>
      </c>
    </row>
    <row r="8" spans="1:7" x14ac:dyDescent="0.25">
      <c r="A8" t="str">
        <f>[1]Sheet4!A38</f>
        <v>7 O 38/14</v>
      </c>
      <c r="B8" t="str">
        <f>[1]Sheet4!B38</f>
        <v>Mannheim</v>
      </c>
      <c r="C8" s="3" t="s">
        <v>7</v>
      </c>
      <c r="D8" s="2">
        <f>DATE(VALUE(RIGHT(F8,4)), VALUE(MID(F8,4,2)), VALUE(LEFT(F8,2)))</f>
        <v>42426</v>
      </c>
      <c r="E8" t="str">
        <f>[1]Sheet4!E38</f>
        <v>No</v>
      </c>
      <c r="F8" t="str">
        <f>[1]Sheet4!N38</f>
        <v>26.02.2016</v>
      </c>
      <c r="G8">
        <f>YEAR(D8)</f>
        <v>2016</v>
      </c>
    </row>
    <row r="9" spans="1:7" x14ac:dyDescent="0.25">
      <c r="A9" t="str">
        <f>[1]Sheet4!A3</f>
        <v>4a O 126/14</v>
      </c>
      <c r="B9" t="str">
        <f>[1]Sheet4!B3</f>
        <v>Duesseldorf</v>
      </c>
      <c r="C9" t="s">
        <v>6</v>
      </c>
      <c r="D9" s="2">
        <f>DATE(VALUE(RIGHT(F9,4)), VALUE(MID(F9,4,2)), VALUE(LEFT(F9,2)))</f>
        <v>42460</v>
      </c>
      <c r="E9" t="str">
        <f>[1]Sheet4!E3</f>
        <v>Yes</v>
      </c>
      <c r="F9" t="str">
        <f>[1]Sheet4!N3</f>
        <v>31.03.2016</v>
      </c>
      <c r="G9">
        <f>YEAR(D9)</f>
        <v>2016</v>
      </c>
    </row>
    <row r="10" spans="1:7" x14ac:dyDescent="0.25">
      <c r="A10" t="str">
        <f>[1]Sheet4!A4</f>
        <v>4a O 73/14</v>
      </c>
      <c r="B10" t="str">
        <f>[1]Sheet4!B4</f>
        <v>Duesseldorf</v>
      </c>
      <c r="C10" t="s">
        <v>6</v>
      </c>
      <c r="D10" s="2">
        <f>DATE(VALUE(RIGHT(F10,4)), VALUE(MID(F10,4,2)), VALUE(LEFT(F10,2)))</f>
        <v>42460</v>
      </c>
      <c r="E10" t="str">
        <f>[1]Sheet4!E4</f>
        <v>Yes</v>
      </c>
      <c r="F10" t="str">
        <f>[1]Sheet4!N4</f>
        <v>31.03.2016</v>
      </c>
      <c r="G10">
        <f>YEAR(D10)</f>
        <v>2016</v>
      </c>
    </row>
    <row r="11" spans="1:7" x14ac:dyDescent="0.25">
      <c r="A11" t="str">
        <f>[1]Sheet4!A58</f>
        <v>7 O 238/15</v>
      </c>
      <c r="B11" t="str">
        <f>[1]Sheet4!B58</f>
        <v>Mannheim</v>
      </c>
      <c r="C11" t="s">
        <v>7</v>
      </c>
      <c r="D11" s="2">
        <f>DATE(VALUE(RIGHT(F11,4)), VALUE(MID(F11,4,2)), VALUE(LEFT(F11,2)))</f>
        <v>42601</v>
      </c>
      <c r="E11" t="str">
        <f>[1]Sheet4!E58</f>
        <v>No</v>
      </c>
      <c r="F11" t="str">
        <f>[1]Sheet4!N58</f>
        <v>19.08.2016</v>
      </c>
      <c r="G11">
        <f>YEAR(D11)</f>
        <v>2016</v>
      </c>
    </row>
    <row r="12" spans="1:7" x14ac:dyDescent="0.25">
      <c r="A12" t="str">
        <f>[1]Sheet4!A21</f>
        <v>7 O 19/16</v>
      </c>
      <c r="B12" t="str">
        <f>[1]Sheet4!B21</f>
        <v>Mannheim</v>
      </c>
      <c r="C12" t="s">
        <v>6</v>
      </c>
      <c r="D12" s="2">
        <f>DATE(VALUE(RIGHT(F12,4)), VALUE(MID(F12,4,2)), VALUE(LEFT(F12,2)))</f>
        <v>42691</v>
      </c>
      <c r="E12" t="str">
        <f>[1]Sheet4!E21</f>
        <v>No</v>
      </c>
      <c r="F12" t="str">
        <f>[1]Sheet4!N21</f>
        <v>17.11.2016</v>
      </c>
      <c r="G12">
        <f>YEAR(D12)</f>
        <v>2016</v>
      </c>
    </row>
    <row r="13" spans="1:7" x14ac:dyDescent="0.25">
      <c r="A13" t="str">
        <f>[1]Sheet4!A22</f>
        <v>7 O 209/15</v>
      </c>
      <c r="B13" t="str">
        <f>[1]Sheet4!B22</f>
        <v>Mannheim</v>
      </c>
      <c r="C13" t="s">
        <v>6</v>
      </c>
      <c r="D13" s="2">
        <f>DATE(VALUE(RIGHT(F13,4)), VALUE(MID(F13,4,2)), VALUE(LEFT(F13,2)))</f>
        <v>42691</v>
      </c>
      <c r="E13" t="str">
        <f>[1]Sheet4!E22</f>
        <v>No</v>
      </c>
      <c r="F13" t="str">
        <f>[1]Sheet4!N22</f>
        <v>17.11.2016</v>
      </c>
      <c r="G13">
        <f>YEAR(D13)</f>
        <v>2016</v>
      </c>
    </row>
    <row r="14" spans="1:7" x14ac:dyDescent="0.25">
      <c r="A14" t="str">
        <f>[1]Sheet4!A39</f>
        <v>7 O 24/14</v>
      </c>
      <c r="B14" t="str">
        <f>[1]Sheet4!B39</f>
        <v>Mannheim</v>
      </c>
      <c r="C14" s="3" t="s">
        <v>7</v>
      </c>
      <c r="D14" s="2">
        <f>DATE(VALUE(RIGHT(F14,4)), VALUE(MID(F14,4,2)), VALUE(LEFT(F14,2)))</f>
        <v>42695</v>
      </c>
      <c r="E14" t="str">
        <f>[1]Sheet4!E39</f>
        <v>Yes</v>
      </c>
      <c r="F14" t="str">
        <f>[1]Sheet4!N39</f>
        <v>21.11.2014/04.03.2016</v>
      </c>
      <c r="G14">
        <f>YEAR(D14)</f>
        <v>2016</v>
      </c>
    </row>
    <row r="15" spans="1:7" x14ac:dyDescent="0.25">
      <c r="A15" t="str">
        <f>[1]Sheet4!A40</f>
        <v>7 O 26/14</v>
      </c>
      <c r="B15" t="str">
        <f>[1]Sheet4!B40</f>
        <v>Mannheim</v>
      </c>
      <c r="C15" s="3" t="s">
        <v>7</v>
      </c>
      <c r="D15" s="2">
        <f>DATE(VALUE(RIGHT(F15,4)), VALUE(MID(F15,4,2)), VALUE(LEFT(F15,2)))</f>
        <v>42695</v>
      </c>
      <c r="E15" t="str">
        <f>[1]Sheet4!E40</f>
        <v>Yes</v>
      </c>
      <c r="F15" t="str">
        <f>[1]Sheet4!N40</f>
        <v>21.11.2014/11.03.2016</v>
      </c>
      <c r="G15">
        <f>YEAR(D15)</f>
        <v>2016</v>
      </c>
    </row>
    <row r="16" spans="1:7" x14ac:dyDescent="0.25">
      <c r="A16" t="str">
        <f>[1]Sheet4!A41</f>
        <v>7 O 43/16</v>
      </c>
      <c r="B16" t="str">
        <f>[1]Sheet4!B41</f>
        <v>Mannheim</v>
      </c>
      <c r="C16" s="3" t="s">
        <v>7</v>
      </c>
      <c r="D16" s="2">
        <f>DATE(VALUE(RIGHT(F16,4)), VALUE(MID(F16,4,2)), VALUE(LEFT(F16,2)))</f>
        <v>42699</v>
      </c>
      <c r="E16" t="str">
        <f>[1]Sheet4!E41</f>
        <v>Yes</v>
      </c>
      <c r="F16" t="str">
        <f>[1]Sheet4!N41</f>
        <v>25.11.2016</v>
      </c>
      <c r="G16">
        <f>YEAR(D16)</f>
        <v>2016</v>
      </c>
    </row>
    <row r="17" spans="1:7" x14ac:dyDescent="0.25">
      <c r="A17" t="str">
        <f>[1]Sheet4!A42</f>
        <v>7 O 44/16</v>
      </c>
      <c r="B17" t="str">
        <f>[1]Sheet4!B42</f>
        <v>Mannheim</v>
      </c>
      <c r="C17" s="3" t="s">
        <v>7</v>
      </c>
      <c r="D17" s="2">
        <f>DATE(VALUE(RIGHT(F17,4)), VALUE(MID(F17,4,2)), VALUE(LEFT(F17,2)))</f>
        <v>42699</v>
      </c>
      <c r="E17" t="str">
        <f>[1]Sheet4!E42</f>
        <v>Yes</v>
      </c>
      <c r="F17" t="str">
        <f>[1]Sheet4!N42</f>
        <v>25.11.2016</v>
      </c>
      <c r="G17">
        <f>YEAR(D17)</f>
        <v>2016</v>
      </c>
    </row>
    <row r="18" spans="1:7" x14ac:dyDescent="0.25">
      <c r="A18" t="str">
        <f>[1]Sheet4!A59</f>
        <v>7 O 29/16</v>
      </c>
      <c r="B18" t="str">
        <f>[1]Sheet4!B59</f>
        <v>Mannheim</v>
      </c>
      <c r="C18" s="3" t="s">
        <v>7</v>
      </c>
      <c r="D18" s="2">
        <f>DATE(VALUE(RIGHT(F18,4)), VALUE(MID(F18,4,2)), VALUE(LEFT(F18,2)))</f>
        <v>42720</v>
      </c>
      <c r="E18" t="str">
        <f>[1]Sheet4!E59</f>
        <v>No</v>
      </c>
      <c r="F18" t="str">
        <f>[1]Sheet4!N59</f>
        <v>16.12.2016</v>
      </c>
      <c r="G18">
        <f>YEAR(D18)</f>
        <v>2016</v>
      </c>
    </row>
    <row r="19" spans="1:7" x14ac:dyDescent="0.25">
      <c r="A19" t="str">
        <f>[1]Sheet4!A60</f>
        <v>7 O 32/16</v>
      </c>
      <c r="B19" t="str">
        <f>[1]Sheet4!B60</f>
        <v>Mannheim</v>
      </c>
      <c r="C19" s="3" t="s">
        <v>7</v>
      </c>
      <c r="D19" s="2">
        <f>DATE(VALUE(RIGHT(F19,4)), VALUE(MID(F19,4,2)), VALUE(LEFT(F19,2)))</f>
        <v>42720</v>
      </c>
      <c r="E19" t="str">
        <f>[1]Sheet4!E60</f>
        <v>No</v>
      </c>
      <c r="F19" t="str">
        <f>[1]Sheet4!N60</f>
        <v>16.12.2016</v>
      </c>
      <c r="G19">
        <f>YEAR(D19)</f>
        <v>2016</v>
      </c>
    </row>
    <row r="20" spans="1:7" x14ac:dyDescent="0.25">
      <c r="A20" t="str">
        <f>[1]Sheet4!A43</f>
        <v>7 O 212/15</v>
      </c>
      <c r="B20" t="str">
        <f>[1]Sheet4!B43</f>
        <v>Mannheim</v>
      </c>
      <c r="C20" s="3" t="s">
        <v>7</v>
      </c>
      <c r="D20" s="2">
        <f>DATE(VALUE(RIGHT(F20,4)), VALUE(MID(F20,4,2)), VALUE(LEFT(F20,2)))</f>
        <v>42762</v>
      </c>
      <c r="E20" t="str">
        <f>[1]Sheet4!E43</f>
        <v>Yes</v>
      </c>
      <c r="F20" t="str">
        <f>[1]Sheet4!N43</f>
        <v>27.01.2017</v>
      </c>
      <c r="G20">
        <f>YEAR(D20)</f>
        <v>2017</v>
      </c>
    </row>
    <row r="21" spans="1:7" x14ac:dyDescent="0.25">
      <c r="A21" t="str">
        <f>[1]Sheet4!A44</f>
        <v>7 O 31/16</v>
      </c>
      <c r="B21" t="str">
        <f>[1]Sheet4!B44</f>
        <v>Mannheim</v>
      </c>
      <c r="C21" s="3" t="s">
        <v>7</v>
      </c>
      <c r="D21" s="2">
        <f>DATE(VALUE(RIGHT(F21,4)), VALUE(MID(F21,4,2)), VALUE(LEFT(F21,2)))</f>
        <v>42790</v>
      </c>
      <c r="E21" t="str">
        <f>[1]Sheet4!E44</f>
        <v>No</v>
      </c>
      <c r="F21" t="str">
        <f>[1]Sheet4!N44</f>
        <v>24.02.2017</v>
      </c>
      <c r="G21">
        <f>YEAR(D21)</f>
        <v>2017</v>
      </c>
    </row>
    <row r="22" spans="1:7" x14ac:dyDescent="0.25">
      <c r="A22" t="str">
        <f>[1]Sheet4!A45</f>
        <v>2 O 98/16</v>
      </c>
      <c r="B22" t="str">
        <f>[1]Sheet4!B45</f>
        <v>Mannheim</v>
      </c>
      <c r="C22" s="3" t="s">
        <v>7</v>
      </c>
      <c r="D22" s="2">
        <f>DATE(VALUE(RIGHT(F22,4)), VALUE(MID(F22,4,2)), VALUE(LEFT(F22,2)))</f>
        <v>42878</v>
      </c>
      <c r="E22" t="str">
        <f>[1]Sheet4!E45</f>
        <v>No</v>
      </c>
      <c r="F22" t="str">
        <f>[1]Sheet4!N45</f>
        <v>23.05.2017</v>
      </c>
      <c r="G22">
        <f>YEAR(D22)</f>
        <v>2017</v>
      </c>
    </row>
    <row r="23" spans="1:7" x14ac:dyDescent="0.25">
      <c r="A23" t="str">
        <f>[1]Sheet4!A5</f>
        <v>4a O 16/16</v>
      </c>
      <c r="B23" t="str">
        <f>[1]Sheet4!B5</f>
        <v>Duesseldorf</v>
      </c>
      <c r="C23" s="3" t="s">
        <v>6</v>
      </c>
      <c r="D23" s="2">
        <f>DATE(VALUE(RIGHT(F23,4)), VALUE(MID(F23,4,2)), VALUE(LEFT(F23,2)))</f>
        <v>42929</v>
      </c>
      <c r="E23" t="str">
        <f>[1]Sheet4!E5</f>
        <v>No</v>
      </c>
      <c r="F23" t="str">
        <f>[1]Sheet4!N5</f>
        <v>13.07.2017</v>
      </c>
      <c r="G23">
        <f>YEAR(D23)</f>
        <v>2017</v>
      </c>
    </row>
    <row r="24" spans="1:7" x14ac:dyDescent="0.25">
      <c r="A24" t="str">
        <f>[1]Sheet4!A6</f>
        <v>4a O 35/16</v>
      </c>
      <c r="B24" t="str">
        <f>[1]Sheet4!B6</f>
        <v>Duesseldorf</v>
      </c>
      <c r="C24" s="3" t="s">
        <v>6</v>
      </c>
      <c r="D24" s="2">
        <f>DATE(VALUE(RIGHT(F24,4)), VALUE(MID(F24,4,2)), VALUE(LEFT(F24,2)))</f>
        <v>42929</v>
      </c>
      <c r="E24" t="str">
        <f>[1]Sheet4!E6</f>
        <v>No</v>
      </c>
      <c r="F24" t="str">
        <f>[1]Sheet4!N6</f>
        <v>13.07.2017</v>
      </c>
      <c r="G24">
        <f>YEAR(D24)</f>
        <v>2017</v>
      </c>
    </row>
    <row r="25" spans="1:7" x14ac:dyDescent="0.25">
      <c r="A25" t="str">
        <f>[1]Sheet4!A35</f>
        <v>4a O 27/16</v>
      </c>
      <c r="B25" t="str">
        <f>[1]Sheet4!B35</f>
        <v>Duesseldorf</v>
      </c>
      <c r="C25" s="3" t="s">
        <v>6</v>
      </c>
      <c r="D25" s="2">
        <f>DATE(VALUE(RIGHT(F25,4)), VALUE(MID(F25,4,2)), VALUE(LEFT(F25,2)))</f>
        <v>42929</v>
      </c>
      <c r="E25" t="str">
        <f>[1]Sheet4!E35</f>
        <v>No</v>
      </c>
      <c r="F25" t="str">
        <f>[1]Sheet4!N35</f>
        <v>13.07.2017</v>
      </c>
      <c r="G25">
        <f>YEAR(D25)</f>
        <v>2017</v>
      </c>
    </row>
    <row r="26" spans="1:7" x14ac:dyDescent="0.25">
      <c r="A26" t="str">
        <f>[1]Sheet4!A36</f>
        <v>4a O 154/15</v>
      </c>
      <c r="B26" t="str">
        <f>[1]Sheet4!B36</f>
        <v>Duesseldorf</v>
      </c>
      <c r="C26" s="3" t="s">
        <v>6</v>
      </c>
      <c r="D26" s="2">
        <f>DATE(VALUE(RIGHT(F26,4)), VALUE(MID(F26,4,2)), VALUE(LEFT(F26,2)))</f>
        <v>42929</v>
      </c>
      <c r="E26" t="str">
        <f>[1]Sheet4!E36</f>
        <v>No</v>
      </c>
      <c r="F26" t="str">
        <f>[1]Sheet4!N36</f>
        <v>13.07.2017</v>
      </c>
      <c r="G26">
        <f>YEAR(D26)</f>
        <v>2017</v>
      </c>
    </row>
    <row r="27" spans="1:7" x14ac:dyDescent="0.25">
      <c r="A27" t="str">
        <f>[1]Sheet4!A37</f>
        <v>14d O 13/17</v>
      </c>
      <c r="B27" t="str">
        <f>[1]Sheet4!B37</f>
        <v>Duesseldorf</v>
      </c>
      <c r="C27" s="3" t="s">
        <v>6</v>
      </c>
      <c r="D27" s="2">
        <f>DATE(VALUE(RIGHT(F27,4)), VALUE(MID(F27,4,2)), VALUE(LEFT(F27,2)))</f>
        <v>43048</v>
      </c>
      <c r="E27" t="str">
        <f>[1]Sheet4!E37</f>
        <v>No</v>
      </c>
      <c r="F27" t="str">
        <f>[1]Sheet4!N37</f>
        <v>09.11.2017</v>
      </c>
      <c r="G27">
        <f>YEAR(D27)</f>
        <v>2017</v>
      </c>
    </row>
    <row r="28" spans="1:7" x14ac:dyDescent="0.25">
      <c r="A28" t="str">
        <f>[1]Sheet4!A29</f>
        <v>7 O 28/16</v>
      </c>
      <c r="B28" t="str">
        <f>[1]Sheet4!B29</f>
        <v>Mannheim</v>
      </c>
      <c r="C28" s="3" t="s">
        <v>6</v>
      </c>
      <c r="D28" s="2">
        <f>DATE(VALUE(RIGHT(F28,4)), VALUE(MID(F28,4,2)), VALUE(LEFT(F28,2)))</f>
        <v>43049</v>
      </c>
      <c r="E28" t="str">
        <f>[1]Sheet4!E29</f>
        <v>No</v>
      </c>
      <c r="F28" t="str">
        <f>[1]Sheet4!N29</f>
        <v>10.11.2017</v>
      </c>
      <c r="G28">
        <f>YEAR(D28)</f>
        <v>2017</v>
      </c>
    </row>
    <row r="29" spans="1:7" x14ac:dyDescent="0.25">
      <c r="A29" t="str">
        <f>[1]Sheet4!A23</f>
        <v>7 O 18/17</v>
      </c>
      <c r="B29" t="str">
        <f>[1]Sheet4!B23</f>
        <v>Mannheim</v>
      </c>
      <c r="C29" s="3" t="s">
        <v>7</v>
      </c>
      <c r="D29" s="2">
        <f>DATE(VALUE(RIGHT(F29,4)), VALUE(MID(F29,4,2)), VALUE(LEFT(F29,2)))</f>
        <v>43161</v>
      </c>
      <c r="E29" t="str">
        <f>[1]Sheet4!E23</f>
        <v>No</v>
      </c>
      <c r="F29" t="str">
        <f>[1]Sheet4!N23</f>
        <v>02.03.2018</v>
      </c>
      <c r="G29">
        <f>YEAR(D29)</f>
        <v>2018</v>
      </c>
    </row>
    <row r="30" spans="1:7" x14ac:dyDescent="0.25">
      <c r="A30" t="str">
        <f>[1]Sheet4!A7</f>
        <v>4c O 72/17</v>
      </c>
      <c r="B30" t="str">
        <f>[1]Sheet4!B7</f>
        <v>Duesseldorf</v>
      </c>
      <c r="C30" s="3" t="s">
        <v>6</v>
      </c>
      <c r="D30" s="2">
        <f>DATE(VALUE(RIGHT(F30,4)), VALUE(MID(F30,4,2)), VALUE(LEFT(F30,2)))</f>
        <v>43292</v>
      </c>
      <c r="E30" t="str">
        <f>[1]Sheet4!E7</f>
        <v>No</v>
      </c>
      <c r="F30" t="str">
        <f>[1]Sheet4!N7</f>
        <v>11.07.2018</v>
      </c>
      <c r="G30">
        <f>YEAR(D30)</f>
        <v>2018</v>
      </c>
    </row>
    <row r="31" spans="1:7" x14ac:dyDescent="0.25">
      <c r="A31" t="str">
        <f>[1]Sheet4!A8</f>
        <v>4c O 77/17</v>
      </c>
      <c r="B31" t="str">
        <f>[1]Sheet4!B8</f>
        <v>Duesseldorf</v>
      </c>
      <c r="C31" s="3" t="s">
        <v>6</v>
      </c>
      <c r="D31" s="2">
        <f>DATE(VALUE(RIGHT(F31,4)), VALUE(MID(F31,4,2)), VALUE(LEFT(F31,2)))</f>
        <v>43292</v>
      </c>
      <c r="E31" t="str">
        <f>[1]Sheet4!E8</f>
        <v>No</v>
      </c>
      <c r="F31" t="str">
        <f>[1]Sheet4!N8</f>
        <v>11.07.2018</v>
      </c>
      <c r="G31">
        <f>YEAR(D31)</f>
        <v>2018</v>
      </c>
    </row>
    <row r="32" spans="1:7" x14ac:dyDescent="0.25">
      <c r="A32" t="str">
        <f>[1]Sheet4!A12</f>
        <v>4c O 81/17</v>
      </c>
      <c r="B32" t="str">
        <f>[1]Sheet4!B12</f>
        <v>Duesseldorf</v>
      </c>
      <c r="C32" s="3" t="s">
        <v>6</v>
      </c>
      <c r="D32" s="2">
        <f>DATE(VALUE(RIGHT(F32,4)), VALUE(MID(F32,4,2)), VALUE(LEFT(F32,2)))</f>
        <v>43292</v>
      </c>
      <c r="E32" t="str">
        <f>[1]Sheet4!E12</f>
        <v>No</v>
      </c>
      <c r="F32" t="str">
        <f>[1]Sheet4!N12</f>
        <v>11.07.2018</v>
      </c>
      <c r="G32">
        <f>YEAR(D32)</f>
        <v>2018</v>
      </c>
    </row>
    <row r="33" spans="1:7" x14ac:dyDescent="0.25">
      <c r="A33" t="str">
        <f>[1]Sheet4!A20</f>
        <v>7 O 165/16</v>
      </c>
      <c r="B33" t="str">
        <f>[1]Sheet4!B20</f>
        <v>Mannheim</v>
      </c>
      <c r="C33" s="3" t="s">
        <v>6</v>
      </c>
      <c r="D33" s="2">
        <f>DATE(VALUE(RIGHT(F33,4)), VALUE(MID(F33,4,2)), VALUE(LEFT(F33,2)))</f>
        <v>43294</v>
      </c>
      <c r="E33" t="str">
        <f>[1]Sheet4!E20</f>
        <v>No</v>
      </c>
      <c r="F33" t="str">
        <f>[1]Sheet4!N20</f>
        <v>13.07.2018</v>
      </c>
      <c r="G33">
        <f>YEAR(D33)</f>
        <v>2018</v>
      </c>
    </row>
    <row r="34" spans="1:7" x14ac:dyDescent="0.25">
      <c r="A34" t="str">
        <f>[1]Sheet4!A9</f>
        <v>4a O 15/17</v>
      </c>
      <c r="B34" t="str">
        <f>[1]Sheet4!B9</f>
        <v>Duesseldorf</v>
      </c>
      <c r="C34" s="3" t="s">
        <v>6</v>
      </c>
      <c r="D34" s="2">
        <f>DATE(VALUE(RIGHT(F34,4)), VALUE(MID(F34,4,2)), VALUE(LEFT(F34,2)))</f>
        <v>43413</v>
      </c>
      <c r="E34" t="str">
        <f>[1]Sheet4!E9</f>
        <v>Yes</v>
      </c>
      <c r="F34" t="str">
        <f>[1]Sheet4!N9</f>
        <v>09.11.2018</v>
      </c>
      <c r="G34">
        <f>YEAR(D34)</f>
        <v>2018</v>
      </c>
    </row>
    <row r="35" spans="1:7" x14ac:dyDescent="0.25">
      <c r="A35" t="str">
        <f>[1]Sheet4!A11</f>
        <v>4a O 17/17</v>
      </c>
      <c r="B35" t="str">
        <f>[1]Sheet4!B11</f>
        <v>Duesseldorf</v>
      </c>
      <c r="C35" s="3" t="s">
        <v>6</v>
      </c>
      <c r="D35" s="2">
        <f>DATE(VALUE(RIGHT(F35,4)), VALUE(MID(F35,4,2)), VALUE(LEFT(F35,2)))</f>
        <v>43413</v>
      </c>
      <c r="E35" t="str">
        <f>[1]Sheet4!E11</f>
        <v>Yes</v>
      </c>
      <c r="F35" t="str">
        <f>[1]Sheet4!N11</f>
        <v>09.11.2018</v>
      </c>
      <c r="G35">
        <f>YEAR(D35)</f>
        <v>2018</v>
      </c>
    </row>
    <row r="36" spans="1:7" x14ac:dyDescent="0.25">
      <c r="A36" t="str">
        <f>[1]Sheet4!A46</f>
        <v>4a O 63/17</v>
      </c>
      <c r="B36" t="str">
        <f>[1]Sheet4!B46</f>
        <v>Duesseldorf</v>
      </c>
      <c r="C36" s="3" t="s">
        <v>6</v>
      </c>
      <c r="D36" s="2">
        <f>DATE(VALUE(RIGHT(F36,4)), VALUE(MID(F36,4,2)), VALUE(LEFT(F36,2)))</f>
        <v>43413</v>
      </c>
      <c r="E36" t="str">
        <f>[1]Sheet4!E46</f>
        <v>Yes</v>
      </c>
      <c r="F36" t="str">
        <f>[1]Sheet4!N46</f>
        <v>09.11.2018</v>
      </c>
      <c r="G36">
        <f>YEAR(D36)</f>
        <v>2018</v>
      </c>
    </row>
    <row r="37" spans="1:7" x14ac:dyDescent="0.25">
      <c r="A37" t="str">
        <f>[1]Sheet4!A53</f>
        <v>4a O 16/17</v>
      </c>
      <c r="B37" t="str">
        <f>[1]Sheet4!B53</f>
        <v>Duesseldorf</v>
      </c>
      <c r="C37" s="3" t="s">
        <v>6</v>
      </c>
      <c r="D37" s="2">
        <f>DATE(VALUE(RIGHT(F37,4)), VALUE(MID(F37,4,2)), VALUE(LEFT(F37,2)))</f>
        <v>43413</v>
      </c>
      <c r="E37" t="str">
        <f>[1]Sheet4!E53</f>
        <v>Yes</v>
      </c>
      <c r="F37" t="str">
        <f>[1]Sheet4!N53</f>
        <v>09.11.2018</v>
      </c>
      <c r="G37">
        <f>YEAR(D37)</f>
        <v>2018</v>
      </c>
    </row>
    <row r="38" spans="1:7" x14ac:dyDescent="0.25">
      <c r="A38" t="str">
        <f>[1]Sheet4!A47</f>
        <v>4b O 4/17</v>
      </c>
      <c r="B38" t="str">
        <f>[1]Sheet4!B47</f>
        <v>Duesseldorf</v>
      </c>
      <c r="C38" s="3" t="s">
        <v>6</v>
      </c>
      <c r="D38" s="2">
        <f>DATE(VALUE(RIGHT(F38,4)), VALUE(MID(F38,4,2)), VALUE(LEFT(F38,2)))</f>
        <v>43446</v>
      </c>
      <c r="E38" t="str">
        <f>[1]Sheet4!E47</f>
        <v>Yes</v>
      </c>
      <c r="F38" t="str">
        <f>[1]Sheet4!N47</f>
        <v>12.12.2018</v>
      </c>
      <c r="G38">
        <f>YEAR(D38)</f>
        <v>2018</v>
      </c>
    </row>
    <row r="39" spans="1:7" x14ac:dyDescent="0.25">
      <c r="A39" t="str">
        <f>[1]Sheet4!A48</f>
        <v>4b O 5/17</v>
      </c>
      <c r="B39" t="str">
        <f>[1]Sheet4!B48</f>
        <v>Duesseldorf</v>
      </c>
      <c r="C39" s="3" t="s">
        <v>6</v>
      </c>
      <c r="D39" s="2">
        <f>DATE(VALUE(RIGHT(F39,4)), VALUE(MID(F39,4,2)), VALUE(LEFT(F39,2)))</f>
        <v>43446</v>
      </c>
      <c r="E39" t="str">
        <f>[1]Sheet4!E48</f>
        <v>Yes</v>
      </c>
      <c r="F39" t="str">
        <f>[1]Sheet4!N48</f>
        <v>12.12.2018</v>
      </c>
      <c r="G39">
        <f>YEAR(D39)</f>
        <v>2018</v>
      </c>
    </row>
    <row r="40" spans="1:7" x14ac:dyDescent="0.25">
      <c r="A40" t="str">
        <f>[1]Sheet4!A49</f>
        <v>4b O 15/17</v>
      </c>
      <c r="B40" t="str">
        <f>[1]Sheet4!B49</f>
        <v>Duesseldorf</v>
      </c>
      <c r="C40" s="3" t="s">
        <v>6</v>
      </c>
      <c r="D40" s="2">
        <f>DATE(VALUE(RIGHT(F40,4)), VALUE(MID(F40,4,2)), VALUE(LEFT(F40,2)))</f>
        <v>43446</v>
      </c>
      <c r="E40" t="str">
        <f>[1]Sheet4!E49</f>
        <v>Yes</v>
      </c>
      <c r="F40" t="str">
        <f>[1]Sheet4!N49</f>
        <v>12.12.2018</v>
      </c>
      <c r="G40">
        <f>YEAR(D40)</f>
        <v>2018</v>
      </c>
    </row>
    <row r="41" spans="1:7" x14ac:dyDescent="0.25">
      <c r="A41" t="str">
        <f>[1]Sheet4!A50</f>
        <v>4b O 16/17</v>
      </c>
      <c r="B41" t="str">
        <f>[1]Sheet4!B50</f>
        <v>Duesseldorf</v>
      </c>
      <c r="C41" s="3" t="s">
        <v>6</v>
      </c>
      <c r="D41" s="2">
        <f>DATE(VALUE(RIGHT(F41,4)), VALUE(MID(F41,4,2)), VALUE(LEFT(F41,2)))</f>
        <v>43446</v>
      </c>
      <c r="E41" t="str">
        <f>[1]Sheet4!E50</f>
        <v>Yes</v>
      </c>
      <c r="F41" t="str">
        <f>[1]Sheet4!N50</f>
        <v>12.12.2018</v>
      </c>
      <c r="G41">
        <f>YEAR(D41)</f>
        <v>2018</v>
      </c>
    </row>
    <row r="42" spans="1:7" x14ac:dyDescent="0.25">
      <c r="A42" t="str">
        <f>[1]Sheet4!A10</f>
        <v>4c O 3/17</v>
      </c>
      <c r="B42" t="str">
        <f>[1]Sheet4!B10</f>
        <v>Duesseldorf</v>
      </c>
      <c r="C42" s="3" t="s">
        <v>6</v>
      </c>
      <c r="D42" s="2">
        <f>DATE(VALUE(RIGHT(F42,4)), VALUE(MID(F42,4,2)), VALUE(LEFT(F42,2)))</f>
        <v>43455</v>
      </c>
      <c r="E42" t="str">
        <f>[1]Sheet4!E10</f>
        <v>Yes</v>
      </c>
      <c r="F42" t="str">
        <f>[1]Sheet4!N10</f>
        <v>21.12.2018</v>
      </c>
      <c r="G42">
        <f>YEAR(D42)</f>
        <v>2018</v>
      </c>
    </row>
    <row r="43" spans="1:7" x14ac:dyDescent="0.25">
      <c r="A43" t="str">
        <f>[1]Sheet4!A13</f>
        <v>4c O 12/17</v>
      </c>
      <c r="B43" t="str">
        <f>[1]Sheet4!B13</f>
        <v>Duesseldorf</v>
      </c>
      <c r="C43" s="3" t="s">
        <v>6</v>
      </c>
      <c r="D43" s="2">
        <f>DATE(VALUE(RIGHT(F43,4)), VALUE(MID(F43,4,2)), VALUE(LEFT(F43,2)))</f>
        <v>43473</v>
      </c>
      <c r="E43" t="str">
        <f>[1]Sheet4!E13</f>
        <v>Yes</v>
      </c>
      <c r="F43" t="str">
        <f>[1]Sheet4!N13</f>
        <v>08.01.2019</v>
      </c>
      <c r="G43">
        <f>YEAR(D43)</f>
        <v>2019</v>
      </c>
    </row>
    <row r="44" spans="1:7" x14ac:dyDescent="0.25">
      <c r="A44" t="str">
        <f>[1]Sheet4!A19</f>
        <v>7 O 115/16</v>
      </c>
      <c r="B44" t="str">
        <f>[1]Sheet4!B19</f>
        <v>Mannheim</v>
      </c>
      <c r="C44" s="3" t="s">
        <v>7</v>
      </c>
      <c r="D44" s="2">
        <f>DATE(VALUE(RIGHT(F44,4)), VALUE(MID(F44,4,2)), VALUE(LEFT(F44,2)))</f>
        <v>43712</v>
      </c>
      <c r="E44" t="str">
        <f>[1]Sheet4!E19</f>
        <v>Yes</v>
      </c>
      <c r="F44" t="str">
        <f>[1]Sheet4!N19</f>
        <v>04.09.2019</v>
      </c>
      <c r="G44">
        <f>YEAR(D44)</f>
        <v>2019</v>
      </c>
    </row>
    <row r="45" spans="1:7" x14ac:dyDescent="0.25">
      <c r="A45" t="str">
        <f>[1]Sheet4!A14</f>
        <v>4c O 44/18</v>
      </c>
      <c r="B45" t="str">
        <f>[1]Sheet4!B14</f>
        <v>Duesseldorf</v>
      </c>
      <c r="C45" s="3" t="s">
        <v>6</v>
      </c>
      <c r="D45" s="2">
        <f>DATE(VALUE(RIGHT(F45,4)), VALUE(MID(F45,4,2)), VALUE(LEFT(F45,2)))</f>
        <v>43958</v>
      </c>
      <c r="E45" t="str">
        <f>[1]Sheet4!E14</f>
        <v>Yes</v>
      </c>
      <c r="F45" t="str">
        <f>[1]Sheet4!N14</f>
        <v>07.05.2020</v>
      </c>
      <c r="G45">
        <f>YEAR(D45)</f>
        <v>2020</v>
      </c>
    </row>
    <row r="46" spans="1:7" x14ac:dyDescent="0.25">
      <c r="A46" t="str">
        <f>[1]Sheet4!A15</f>
        <v>4c O 56/18</v>
      </c>
      <c r="B46" t="str">
        <f>[1]Sheet4!B15</f>
        <v>Duesseldorf</v>
      </c>
      <c r="C46" s="3" t="s">
        <v>6</v>
      </c>
      <c r="D46" s="2">
        <f>DATE(VALUE(RIGHT(F46,4)), VALUE(MID(F46,4,2)), VALUE(LEFT(F46,2)))</f>
        <v>43958</v>
      </c>
      <c r="E46" t="str">
        <f>[1]Sheet4!E15</f>
        <v>Yes</v>
      </c>
      <c r="F46" t="str">
        <f>[1]Sheet4!N15</f>
        <v>07.05.2020</v>
      </c>
      <c r="G46">
        <f>YEAR(D46)</f>
        <v>2020</v>
      </c>
    </row>
    <row r="47" spans="1:7" x14ac:dyDescent="0.25">
      <c r="A47" t="str">
        <f>[1]Sheet4!A16</f>
        <v>4c O 69/18</v>
      </c>
      <c r="B47" t="str">
        <f>[1]Sheet4!B16</f>
        <v>Duesseldorf</v>
      </c>
      <c r="C47" s="3" t="s">
        <v>6</v>
      </c>
      <c r="D47" s="2">
        <f>DATE(VALUE(RIGHT(F47,4)), VALUE(MID(F47,4,2)), VALUE(LEFT(F47,2)))</f>
        <v>43958</v>
      </c>
      <c r="E47" t="str">
        <f>[1]Sheet4!E16</f>
        <v>Yes</v>
      </c>
      <c r="F47" t="str">
        <f>[1]Sheet4!N16</f>
        <v>07.05.2020</v>
      </c>
      <c r="G47">
        <f>YEAR(D47)</f>
        <v>2020</v>
      </c>
    </row>
    <row r="48" spans="1:7" x14ac:dyDescent="0.25">
      <c r="A48" t="str">
        <f>[1]Sheet4!A51</f>
        <v>4b O 30/18</v>
      </c>
      <c r="B48" t="str">
        <f>[1]Sheet4!B51</f>
        <v>Duesseldorf</v>
      </c>
      <c r="C48" s="3" t="s">
        <v>6</v>
      </c>
      <c r="D48" s="2">
        <f>DATE(VALUE(RIGHT(F48,4)), VALUE(MID(F48,4,2)), VALUE(LEFT(F48,2)))</f>
        <v>44000</v>
      </c>
      <c r="E48" t="str">
        <f>[1]Sheet4!E51</f>
        <v>Yes</v>
      </c>
      <c r="F48" t="str">
        <f>[1]Sheet4!N51</f>
        <v>18.06.2020</v>
      </c>
      <c r="G48">
        <f>YEAR(D48)</f>
        <v>2020</v>
      </c>
    </row>
    <row r="49" spans="1:7" x14ac:dyDescent="0.25">
      <c r="A49" t="str">
        <f>[1]Sheet4!A67</f>
        <v>4b O 91/18</v>
      </c>
      <c r="B49" t="str">
        <f>[1]Sheet4!B67</f>
        <v>Duesseldorf</v>
      </c>
      <c r="C49" s="3" t="s">
        <v>6</v>
      </c>
      <c r="D49" s="2">
        <f>DATE(VALUE(RIGHT(F49,4)), VALUE(MID(F49,4,2)), VALUE(LEFT(F49,2)))</f>
        <v>44000</v>
      </c>
      <c r="E49" t="str">
        <f>[1]Sheet4!E67</f>
        <v>No</v>
      </c>
      <c r="F49" t="str">
        <f>[1]Sheet4!N67</f>
        <v>18.06.2020</v>
      </c>
      <c r="G49">
        <f>YEAR(D49)</f>
        <v>2020</v>
      </c>
    </row>
    <row r="50" spans="1:7" x14ac:dyDescent="0.25">
      <c r="A50" t="str">
        <f>[1]Sheet4!A26</f>
        <v>2 O 34/19</v>
      </c>
      <c r="B50" t="str">
        <f>[1]Sheet4!B26</f>
        <v>Mannheim</v>
      </c>
      <c r="C50" s="3" t="s">
        <v>7</v>
      </c>
      <c r="D50" s="2">
        <f>DATE(VALUE(RIGHT(F50,4)), VALUE(MID(F50,4,2)), VALUE(LEFT(F50,2)))</f>
        <v>44061</v>
      </c>
      <c r="E50" t="str">
        <f>[1]Sheet4!E26</f>
        <v>Yes</v>
      </c>
      <c r="F50" t="str">
        <f>[1]Sheet4!N26</f>
        <v>18.08.2020</v>
      </c>
      <c r="G50">
        <f>YEAR(D50)</f>
        <v>2020</v>
      </c>
    </row>
    <row r="51" spans="1:7" x14ac:dyDescent="0.25">
      <c r="A51" t="str">
        <f>[1]Sheet4!A24</f>
        <v>2 O 136/18</v>
      </c>
      <c r="B51" t="str">
        <f>[1]Sheet4!B24</f>
        <v>Mannheim</v>
      </c>
      <c r="C51" s="3" t="s">
        <v>8</v>
      </c>
      <c r="D51" s="2">
        <f>DATE(VALUE(RIGHT(F51,4)), VALUE(MID(F51,4,2)), VALUE(LEFT(F51,2)))</f>
        <v>44064</v>
      </c>
      <c r="E51" t="str">
        <f>[1]Sheet4!E24</f>
        <v>No</v>
      </c>
      <c r="F51" t="str">
        <f>[1]Sheet4!N24</f>
        <v>21.08.2020</v>
      </c>
      <c r="G51">
        <f>YEAR(D51)</f>
        <v>2020</v>
      </c>
    </row>
    <row r="52" spans="1:7" x14ac:dyDescent="0.25">
      <c r="A52" t="str">
        <f>[1]Sheet4!A72</f>
        <v>4b O 6/19</v>
      </c>
      <c r="B52" t="str">
        <f>[1]Sheet4!B72</f>
        <v>Duesseldorf</v>
      </c>
      <c r="C52" s="3" t="s">
        <v>7</v>
      </c>
      <c r="D52" s="2">
        <f>DATE(VALUE(RIGHT(F52,4)), VALUE(MID(F52,4,2)), VALUE(LEFT(F52,2)))</f>
        <v>44070</v>
      </c>
      <c r="E52" t="str">
        <f>[1]Sheet4!E72</f>
        <v>No</v>
      </c>
      <c r="F52" t="str">
        <f>[1]Sheet4!N72</f>
        <v>27.08.2020</v>
      </c>
      <c r="G52">
        <f>YEAR(D52)</f>
        <v>2020</v>
      </c>
    </row>
    <row r="53" spans="1:7" x14ac:dyDescent="0.25">
      <c r="A53" t="str">
        <f>[1]Sheet4!A34</f>
        <v>7 O 8818/19</v>
      </c>
      <c r="B53" t="str">
        <f>[1]Sheet4!B34</f>
        <v>Munich</v>
      </c>
      <c r="C53" s="3" t="s">
        <v>6</v>
      </c>
      <c r="D53" s="2">
        <f>DATE(VALUE(RIGHT(F53,4)), VALUE(MID(F53,4,2)), VALUE(LEFT(F53,2)))</f>
        <v>44084</v>
      </c>
      <c r="E53" t="str">
        <f>[1]Sheet4!E34</f>
        <v>Yes</v>
      </c>
      <c r="F53" t="str">
        <f>[1]Sheet4!N34</f>
        <v>10.09.2020</v>
      </c>
      <c r="G53">
        <f>YEAR(D53)</f>
        <v>2020</v>
      </c>
    </row>
    <row r="54" spans="1:7" x14ac:dyDescent="0.25">
      <c r="A54" t="str">
        <f>[1]Sheet4!A61</f>
        <v>21 O 3891/19</v>
      </c>
      <c r="B54" t="str">
        <f>[1]Sheet4!B61</f>
        <v>Munich</v>
      </c>
      <c r="C54" s="3" t="s">
        <v>6</v>
      </c>
      <c r="D54" s="2">
        <f>DATE(VALUE(RIGHT(F54,4)), VALUE(MID(F54,4,2)), VALUE(LEFT(F54,2)))</f>
        <v>44104</v>
      </c>
      <c r="E54" t="str">
        <f>[1]Sheet4!E61</f>
        <v>Yes</v>
      </c>
      <c r="F54" t="str">
        <f>[1]Sheet4!N61</f>
        <v>30.09.2020</v>
      </c>
      <c r="G54">
        <f>YEAR(D54)</f>
        <v>2020</v>
      </c>
    </row>
    <row r="55" spans="1:7" x14ac:dyDescent="0.25">
      <c r="A55" t="str">
        <f>[1]Sheet4!A63</f>
        <v>21 O 13026/19</v>
      </c>
      <c r="B55" t="str">
        <f>[1]Sheet4!B63</f>
        <v>Munich</v>
      </c>
      <c r="C55" s="3" t="s">
        <v>6</v>
      </c>
      <c r="D55" s="2">
        <f>DATE(VALUE(RIGHT(F55,4)), VALUE(MID(F55,4,2)), VALUE(LEFT(F55,2)))</f>
        <v>44104</v>
      </c>
      <c r="E55" t="str">
        <f>[1]Sheet4!E63</f>
        <v>Yes</v>
      </c>
      <c r="F55" t="str">
        <f>[1]Sheet4!N63</f>
        <v>30.09.2020</v>
      </c>
      <c r="G55">
        <f>YEAR(D55)</f>
        <v>2020</v>
      </c>
    </row>
    <row r="56" spans="1:7" x14ac:dyDescent="0.25">
      <c r="A56" t="str">
        <f>[1]Sheet4!A62</f>
        <v>21 O 11384/19</v>
      </c>
      <c r="B56" t="str">
        <f>[1]Sheet4!B62</f>
        <v>Munich</v>
      </c>
      <c r="C56" s="3" t="s">
        <v>6</v>
      </c>
      <c r="D56" s="2">
        <f>DATE(VALUE(RIGHT(F56,4)), VALUE(MID(F56,4,2)), VALUE(LEFT(F56,2)))</f>
        <v>44127</v>
      </c>
      <c r="E56" t="str">
        <f>[1]Sheet4!E62</f>
        <v>Yes</v>
      </c>
      <c r="F56" t="str">
        <f>[1]Sheet4!N62</f>
        <v>23.10.2020</v>
      </c>
      <c r="G56">
        <f>YEAR(D56)</f>
        <v>2020</v>
      </c>
    </row>
    <row r="57" spans="1:7" x14ac:dyDescent="0.25">
      <c r="A57" t="str">
        <f>[1]Sheet4!A25</f>
        <v>2 O 131/19</v>
      </c>
      <c r="B57" t="str">
        <f>[1]Sheet4!B25</f>
        <v>Mannheim</v>
      </c>
      <c r="C57" t="s">
        <v>8</v>
      </c>
      <c r="D57" s="2">
        <f>DATE(VALUE(RIGHT(F57,4)), VALUE(MID(F57,4,2)), VALUE(LEFT(F57,2)))</f>
        <v>44257</v>
      </c>
      <c r="E57" t="str">
        <f>[1]Sheet4!E25</f>
        <v>Yes</v>
      </c>
      <c r="F57" t="str">
        <f>[1]Sheet4!N25</f>
        <v>02.03.2021</v>
      </c>
      <c r="G57">
        <f>YEAR(D57)</f>
        <v>2021</v>
      </c>
    </row>
    <row r="58" spans="1:7" x14ac:dyDescent="0.25">
      <c r="A58" t="str">
        <f>[1]Sheet4!A68</f>
        <v>4b O 23/20</v>
      </c>
      <c r="B58" t="str">
        <f>[1]Sheet4!B68</f>
        <v>Duesseldorf</v>
      </c>
      <c r="C58" s="3" t="s">
        <v>6</v>
      </c>
      <c r="D58" s="2">
        <f>DATE(VALUE(RIGHT(F58,4)), VALUE(MID(F58,4,2)), VALUE(LEFT(F58,2)))</f>
        <v>44327</v>
      </c>
      <c r="E58" t="str">
        <f>[1]Sheet4!E68</f>
        <v>Yes</v>
      </c>
      <c r="F58" t="str">
        <f>[1]Sheet4!N68</f>
        <v>11.05.2021</v>
      </c>
      <c r="G58">
        <f>YEAR(D58)</f>
        <v>2021</v>
      </c>
    </row>
    <row r="59" spans="1:7" x14ac:dyDescent="0.25">
      <c r="A59" t="str">
        <f>[1]Sheet4!A69</f>
        <v>4b O 49/20</v>
      </c>
      <c r="B59" t="str">
        <f>[1]Sheet4!B69</f>
        <v>Duesseldorf</v>
      </c>
      <c r="C59" s="3" t="s">
        <v>6</v>
      </c>
      <c r="D59" s="2">
        <f>DATE(VALUE(RIGHT(F59,4)), VALUE(MID(F59,4,2)), VALUE(LEFT(F59,2)))</f>
        <v>44327</v>
      </c>
      <c r="E59" t="str">
        <f>[1]Sheet4!E69</f>
        <v>Yes</v>
      </c>
      <c r="F59" t="str">
        <f>[1]Sheet4!N69</f>
        <v>11.05.2021</v>
      </c>
      <c r="G59">
        <f>YEAR(D59)</f>
        <v>2021</v>
      </c>
    </row>
    <row r="60" spans="1:7" x14ac:dyDescent="0.25">
      <c r="A60" t="str">
        <f>[1]Sheet4!A70</f>
        <v>4b O 83/19</v>
      </c>
      <c r="B60" t="str">
        <f>[1]Sheet4!B70</f>
        <v>Duesseldorf</v>
      </c>
      <c r="C60" s="3" t="s">
        <v>6</v>
      </c>
      <c r="D60" s="2">
        <f>DATE(VALUE(RIGHT(F60,4)), VALUE(MID(F60,4,2)), VALUE(LEFT(F60,2)))</f>
        <v>44327</v>
      </c>
      <c r="E60" t="str">
        <f>[1]Sheet4!E70</f>
        <v>Yes</v>
      </c>
      <c r="F60" t="str">
        <f>[1]Sheet4!N70</f>
        <v>11.05.2021</v>
      </c>
      <c r="G60">
        <f>YEAR(D60)</f>
        <v>2021</v>
      </c>
    </row>
    <row r="61" spans="1:7" x14ac:dyDescent="0.25">
      <c r="A61" t="str">
        <f>[1]Sheet4!A27</f>
        <v>7 O 15350/19</v>
      </c>
      <c r="B61" t="str">
        <f>[1]Sheet4!B27</f>
        <v>Munich</v>
      </c>
      <c r="C61" s="3" t="s">
        <v>6</v>
      </c>
      <c r="D61" s="2">
        <f>DATE(VALUE(RIGHT(F61,4)), VALUE(MID(F61,4,2)), VALUE(LEFT(F61,2)))</f>
        <v>44427</v>
      </c>
      <c r="E61" t="str">
        <f>[1]Sheet4!E27</f>
        <v>Yes</v>
      </c>
      <c r="F61" t="str">
        <f>[1]Sheet4!N27</f>
        <v>19.08.2021</v>
      </c>
      <c r="G61">
        <f>YEAR(D61)</f>
        <v>2021</v>
      </c>
    </row>
    <row r="62" spans="1:7" x14ac:dyDescent="0.25">
      <c r="A62" t="str">
        <f>[1]Sheet4!A56</f>
        <v>4c O 42/20</v>
      </c>
      <c r="B62" t="str">
        <f>[1]Sheet4!B56</f>
        <v>Duesseldorf</v>
      </c>
      <c r="C62" s="3" t="s">
        <v>6</v>
      </c>
      <c r="D62" s="2">
        <f>DATE(VALUE(RIGHT(F62,4)), VALUE(MID(F62,4,2)), VALUE(LEFT(F62,2)))</f>
        <v>44551</v>
      </c>
      <c r="E62" t="str">
        <f>[1]Sheet4!E56</f>
        <v>No</v>
      </c>
      <c r="F62" t="str">
        <f>[1]Sheet4!N56</f>
        <v>21.12.2021</v>
      </c>
      <c r="G62">
        <f>YEAR(D62)</f>
        <v>2021</v>
      </c>
    </row>
    <row r="63" spans="1:7" x14ac:dyDescent="0.25">
      <c r="A63" t="str">
        <f>[1]Sheet4!A64</f>
        <v>7 O 14091/19</v>
      </c>
      <c r="B63" t="str">
        <f>[1]Sheet4!B64</f>
        <v>Munich</v>
      </c>
      <c r="C63" s="3" t="s">
        <v>6</v>
      </c>
      <c r="D63" s="2">
        <f>DATE(VALUE(RIGHT(F63,4)), VALUE(MID(F63,4,2)), VALUE(LEFT(F63,2)))</f>
        <v>44706</v>
      </c>
      <c r="E63" t="str">
        <f>[1]Sheet4!E64</f>
        <v>Yes</v>
      </c>
      <c r="F63" t="str">
        <f>[1]Sheet4!N64</f>
        <v>25.05.2022</v>
      </c>
      <c r="G63">
        <f>YEAR(D63)</f>
        <v>2022</v>
      </c>
    </row>
    <row r="64" spans="1:7" x14ac:dyDescent="0.25">
      <c r="A64" t="str">
        <f>[1]Sheet4!A28</f>
        <v>2 O 75/21</v>
      </c>
      <c r="B64" t="str">
        <f>[1]Sheet4!B28</f>
        <v>Mannheim</v>
      </c>
      <c r="C64" s="3" t="s">
        <v>8</v>
      </c>
      <c r="D64" s="2">
        <f>DATE(VALUE(RIGHT(F64,4)), VALUE(MID(F64,4,2)), VALUE(LEFT(F64,2)))</f>
        <v>44747</v>
      </c>
      <c r="E64" t="str">
        <f>[1]Sheet4!E28</f>
        <v>Yes</v>
      </c>
      <c r="F64" t="str">
        <f>[1]Sheet4!N28</f>
        <v>05.07.2022</v>
      </c>
      <c r="G64">
        <f>YEAR(D64)</f>
        <v>2022</v>
      </c>
    </row>
    <row r="65" spans="1:7" x14ac:dyDescent="0.25">
      <c r="A65" t="str">
        <f>[1]Sheet4!A55</f>
        <v>21 O 8891/21</v>
      </c>
      <c r="B65" t="str">
        <f>[1]Sheet4!B55</f>
        <v>Munich</v>
      </c>
      <c r="C65" s="3" t="s">
        <v>7</v>
      </c>
      <c r="D65" s="2">
        <f>DATE(VALUE(RIGHT(F65,4)), VALUE(MID(F65,4,2)), VALUE(LEFT(F65,2)))</f>
        <v>44776</v>
      </c>
      <c r="E65" t="str">
        <f>[1]Sheet4!E55</f>
        <v>Yes</v>
      </c>
      <c r="F65" t="str">
        <f>[1]Sheet4!N55</f>
        <v>03.08.2022</v>
      </c>
      <c r="G65">
        <f>YEAR(D65)</f>
        <v>2022</v>
      </c>
    </row>
    <row r="66" spans="1:7" x14ac:dyDescent="0.25">
      <c r="A66" t="str">
        <f>[1]Sheet4!A31</f>
        <v>21 O 11522/21</v>
      </c>
      <c r="B66" t="str">
        <f>[1]Sheet4!B31</f>
        <v>Munich</v>
      </c>
      <c r="C66" s="3" t="s">
        <v>6</v>
      </c>
      <c r="D66" s="2">
        <f>DATE(VALUE(RIGHT(F66,4)), VALUE(MID(F66,4,2)), VALUE(LEFT(F66,2)))</f>
        <v>44778</v>
      </c>
      <c r="E66" t="str">
        <f>[1]Sheet4!E31</f>
        <v>Yes</v>
      </c>
      <c r="F66" t="str">
        <f>[1]Sheet4!N31</f>
        <v>05.08.2022</v>
      </c>
      <c r="G66">
        <f>YEAR(D66)</f>
        <v>2022</v>
      </c>
    </row>
    <row r="67" spans="1:7" x14ac:dyDescent="0.25">
      <c r="A67" t="str">
        <f>[1]Sheet4!A52</f>
        <v>21 O 8879/21</v>
      </c>
      <c r="B67" t="str">
        <f>[1]Sheet4!B52</f>
        <v>Munich</v>
      </c>
      <c r="C67" s="3" t="s">
        <v>6</v>
      </c>
      <c r="D67" s="2">
        <f>DATE(VALUE(RIGHT(F67,4)), VALUE(MID(F67,4,2)), VALUE(LEFT(F67,2)))</f>
        <v>44778</v>
      </c>
      <c r="E67" t="str">
        <f>[1]Sheet4!E52</f>
        <v>Yes</v>
      </c>
      <c r="F67" t="str">
        <f>[1]Sheet4!N52</f>
        <v>05.08.2022</v>
      </c>
      <c r="G67">
        <f>YEAR(D67)</f>
        <v>2022</v>
      </c>
    </row>
    <row r="68" spans="1:7" x14ac:dyDescent="0.25">
      <c r="A68" t="str">
        <f>[1]Sheet4!A54</f>
        <v>21 O 8890/21</v>
      </c>
      <c r="B68" t="str">
        <f>[1]Sheet4!B54</f>
        <v>Munich</v>
      </c>
      <c r="C68" s="3" t="s">
        <v>6</v>
      </c>
      <c r="D68" s="2">
        <f>DATE(VALUE(RIGHT(F68,4)), VALUE(MID(F68,4,2)), VALUE(LEFT(F68,2)))</f>
        <v>44778</v>
      </c>
      <c r="E68" t="str">
        <f>[1]Sheet4!E54</f>
        <v>Yes</v>
      </c>
      <c r="F68" t="str">
        <f>[1]Sheet4!N54</f>
        <v>05.08.2022</v>
      </c>
      <c r="G68">
        <f>YEAR(D68)</f>
        <v>2022</v>
      </c>
    </row>
    <row r="69" spans="1:7" x14ac:dyDescent="0.25">
      <c r="A69" t="str">
        <f>[1]Sheet4!A33</f>
        <v>21 O 4140/21</v>
      </c>
      <c r="B69" t="str">
        <f>[1]Sheet4!B33</f>
        <v>Munich</v>
      </c>
      <c r="C69" s="3" t="s">
        <v>6</v>
      </c>
      <c r="D69" s="2">
        <f>DATE(VALUE(RIGHT(F69,4)), VALUE(MID(F69,4,2)), VALUE(LEFT(F69,2)))</f>
        <v>44974</v>
      </c>
      <c r="E69" t="str">
        <f>[1]Sheet4!E33</f>
        <v>Yes</v>
      </c>
      <c r="F69" t="str">
        <f>[1]Sheet4!N33</f>
        <v>17.02.2023</v>
      </c>
      <c r="G69">
        <f>YEAR(D69)</f>
        <v>2023</v>
      </c>
    </row>
    <row r="70" spans="1:7" x14ac:dyDescent="0.25">
      <c r="A70" t="str">
        <f>[1]Sheet4!A32</f>
        <v>21 O 1910/22</v>
      </c>
      <c r="B70" t="str">
        <f>[1]Sheet4!B32</f>
        <v>Munich</v>
      </c>
      <c r="C70" s="3" t="s">
        <v>6</v>
      </c>
      <c r="D70" s="2">
        <f>DATE(VALUE(RIGHT(F70,4)), VALUE(MID(F70,4,2)), VALUE(LEFT(F70,2)))</f>
        <v>45035</v>
      </c>
      <c r="E70" t="str">
        <f>[1]Sheet4!E32</f>
        <v>Yes</v>
      </c>
      <c r="F70" t="str">
        <f>[1]Sheet4!N32</f>
        <v>19.04.2023</v>
      </c>
      <c r="G70">
        <f>YEAR(D70)</f>
        <v>2023</v>
      </c>
    </row>
    <row r="71" spans="1:7" x14ac:dyDescent="0.25">
      <c r="A71" t="str">
        <f>[1]Sheet4!A65</f>
        <v>21 O 1890/22</v>
      </c>
      <c r="B71" t="str">
        <f>[1]Sheet4!B65</f>
        <v>Munich</v>
      </c>
      <c r="C71" s="3" t="s">
        <v>6</v>
      </c>
      <c r="D71" s="2">
        <f>DATE(VALUE(RIGHT(F71,4)), VALUE(MID(F71,4,2)), VALUE(LEFT(F71,2)))</f>
        <v>45035</v>
      </c>
      <c r="E71" t="str">
        <f>[1]Sheet4!E65</f>
        <v>Yes</v>
      </c>
      <c r="F71" t="str">
        <f>[1]Sheet4!N65</f>
        <v>19.04.2023</v>
      </c>
      <c r="G71">
        <f>YEAR(D71)</f>
        <v>2023</v>
      </c>
    </row>
    <row r="72" spans="1:7" x14ac:dyDescent="0.25">
      <c r="A72" t="str">
        <f>[1]Sheet4!A66</f>
        <v>21 O 5693/22</v>
      </c>
      <c r="B72" t="str">
        <f>[1]Sheet4!B66</f>
        <v>Munich</v>
      </c>
      <c r="C72" s="3" t="s">
        <v>6</v>
      </c>
      <c r="D72" s="2">
        <f>DATE(VALUE(RIGHT(F72,4)), VALUE(MID(F72,4,2)), VALUE(LEFT(F72,2)))</f>
        <v>45140</v>
      </c>
      <c r="E72" t="str">
        <f>[1]Sheet4!E66</f>
        <v>Yes</v>
      </c>
      <c r="F72" t="str">
        <f>[1]Sheet4!N66</f>
        <v>02.08.2023</v>
      </c>
      <c r="G72">
        <f>YEAR(D72)</f>
        <v>2023</v>
      </c>
    </row>
  </sheetData>
  <sortState xmlns:xlrd2="http://schemas.microsoft.com/office/spreadsheetml/2017/richdata2" ref="A2:G72">
    <sortCondition ref="D2:D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Marcelo Bergallo</dc:creator>
  <cp:lastModifiedBy>Santiago Marcelo Bergallo</cp:lastModifiedBy>
  <dcterms:created xsi:type="dcterms:W3CDTF">2024-04-18T17:41:37Z</dcterms:created>
  <dcterms:modified xsi:type="dcterms:W3CDTF">2024-04-18T18:50:29Z</dcterms:modified>
</cp:coreProperties>
</file>